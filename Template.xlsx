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" sheetId="1" r:id="rId4"/>
    <sheet state="visible" name="INPUT" sheetId="2" r:id="rId5"/>
    <sheet state="visible" name="DBR Sheet" sheetId="3" r:id="rId6"/>
    <sheet state="visible" name="ECIB" sheetId="4" r:id="rId7"/>
    <sheet state="visible" name="Formulas" sheetId="5" r:id="rId8"/>
    <sheet state="hidden" name="A_Score" sheetId="6" r:id="rId9"/>
  </sheets>
  <definedNames>
    <definedName hidden="1" localSheetId="4" name="_xlnm._FilterDatabase">Formulas!$Q$1:$U$77</definedName>
  </definedNames>
  <calcPr/>
</workbook>
</file>

<file path=xl/sharedStrings.xml><?xml version="1.0" encoding="utf-8"?>
<sst xmlns="http://schemas.openxmlformats.org/spreadsheetml/2006/main" count="537" uniqueCount="276">
  <si>
    <t>CREDIT INITIATION UNIT – (STAGE 1) –APPROVAL SHEET FOR Mortgage LOAN</t>
  </si>
  <si>
    <t>Amendment Date  10 Sep 2018</t>
  </si>
  <si>
    <r>
      <rPr>
        <rFont val="Arial"/>
        <b/>
        <color rgb="FF000008"/>
        <sz val="10.0"/>
      </rPr>
      <t xml:space="preserve">                                        App ID</t>
    </r>
    <r>
      <rPr>
        <rFont val="Arial"/>
        <b/>
        <color rgb="FF000008"/>
        <sz val="10.0"/>
      </rPr>
      <t xml:space="preserve"> :</t>
    </r>
    <r>
      <rPr>
        <rFont val="Arial"/>
        <b/>
        <color rgb="FF000008"/>
        <sz val="10.0"/>
      </rPr>
      <t xml:space="preserve">  _______________________</t>
    </r>
  </si>
  <si>
    <t xml:space="preserve">Applicant Name : </t>
  </si>
  <si>
    <t>Originating Branch/Unit</t>
  </si>
  <si>
    <t xml:space="preserve">Direct Sales / Branch  Name                                                                        </t>
  </si>
  <si>
    <t xml:space="preserve">  Branch  Code:</t>
  </si>
  <si>
    <t>*JS ACCOUNT HOLDER</t>
  </si>
  <si>
    <t xml:space="preserve">   Yes</t>
  </si>
  <si>
    <t xml:space="preserve">    No      A/c No :</t>
  </si>
  <si>
    <t xml:space="preserve">                        Account Opening Date :</t>
  </si>
  <si>
    <t>Self Employed</t>
  </si>
  <si>
    <t>Salaried</t>
  </si>
  <si>
    <t>ECIB</t>
  </si>
  <si>
    <t>eCIB:</t>
  </si>
  <si>
    <r>
      <rPr>
        <rFont val="Noto Sans Symbols"/>
        <color rgb="FF000000"/>
        <sz val="11.0"/>
      </rPr>
      <t>£</t>
    </r>
    <r>
      <rPr>
        <rFont val="Times New Roman"/>
        <color rgb="FF000000"/>
        <sz val="11.0"/>
      </rPr>
      <t xml:space="preserve"> CNIC / NICOP</t>
    </r>
  </si>
  <si>
    <r>
      <rPr>
        <rFont val="Noto Sans Symbols"/>
        <color rgb="FF000000"/>
        <sz val="11.0"/>
      </rPr>
      <t>£</t>
    </r>
    <r>
      <rPr>
        <rFont val="Times New Roman"/>
        <color rgb="FF000000"/>
        <sz val="11.0"/>
      </rPr>
      <t xml:space="preserve"> CNIC / NICOP</t>
    </r>
  </si>
  <si>
    <r>
      <rPr>
        <rFont val="Noto Sans Symbols"/>
        <color rgb="FF000000"/>
        <sz val="12.0"/>
      </rPr>
      <t>£</t>
    </r>
    <r>
      <rPr>
        <rFont val="Times New Roman Bold"/>
        <color rgb="FF000000"/>
        <sz val="12.0"/>
      </rPr>
      <t xml:space="preserve">  No History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</si>
  <si>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02 recent photos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</si>
  <si>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02 recent photos</t>
    </r>
  </si>
  <si>
    <r>
      <rPr>
        <rFont val="Noto Sans Symbols"/>
        <color rgb="FF000000"/>
        <sz val="12.0"/>
      </rPr>
      <t>£</t>
    </r>
    <r>
      <rPr>
        <rFont val="Times New Roman Bold"/>
        <color rgb="FF000000"/>
        <sz val="12.0"/>
      </rPr>
      <t xml:space="preserve">  Clean History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</si>
  <si>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Property Title Docs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</si>
  <si>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Property Title Docs</t>
    </r>
  </si>
  <si>
    <r>
      <rPr>
        <rFont val="Noto Sans Symbols"/>
        <color rgb="FF000000"/>
        <sz val="12.0"/>
      </rPr>
      <t>£</t>
    </r>
    <r>
      <rPr>
        <rFont val="Times New Roman Bold"/>
        <color rgb="FF000000"/>
        <sz val="12.0"/>
      </rPr>
      <t xml:space="preserve">  30 DPD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</si>
  <si>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Legal Advice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</si>
  <si>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Legal Advice</t>
    </r>
  </si>
  <si>
    <r>
      <rPr>
        <rFont val="Noto Sans Symbols"/>
        <color rgb="FF000000"/>
        <sz val="12.0"/>
      </rPr>
      <t>£</t>
    </r>
    <r>
      <rPr>
        <rFont val="Times New Roman Bold"/>
        <color rgb="FF000000"/>
        <sz val="12.0"/>
      </rPr>
      <t xml:space="preserve">  60 DPD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</si>
  <si>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Appraiser Report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</si>
  <si>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Appraiser Report</t>
    </r>
  </si>
  <si>
    <r>
      <rPr>
        <rFont val="Noto Sans Symbols"/>
        <color rgb="FF000000"/>
        <sz val="12.0"/>
      </rPr>
      <t>£</t>
    </r>
    <r>
      <rPr>
        <rFont val="Times New Roman Bold"/>
        <color rgb="FF000000"/>
        <sz val="12.0"/>
      </rPr>
      <t xml:space="preserve">  90 or 90+ DPD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</si>
  <si>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Verification Report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</si>
  <si>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Verification Report</t>
    </r>
  </si>
  <si>
    <r>
      <rPr>
        <rFont val="Noto Sans Symbols"/>
        <color rgb="FF000000"/>
        <sz val="12.0"/>
      </rPr>
      <t>£</t>
    </r>
    <r>
      <rPr>
        <rFont val="Times New Roman Bold"/>
        <color rgb="FF000000"/>
        <sz val="12.0"/>
      </rPr>
      <t xml:space="preserve"> Write off , amount _______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</si>
  <si>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Proof of business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</si>
  <si>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Salary slip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</si>
  <si>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06 Month B/S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</si>
  <si>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06 Month B/S</t>
    </r>
  </si>
  <si>
    <r>
      <rPr>
        <rFont val="Times New Roman"/>
        <color rgb="FF000000"/>
        <sz val="11.0"/>
      </rPr>
      <t>CMs Age :</t>
    </r>
    <r>
      <rPr>
        <rFont val="Times New Roman"/>
        <color rgb="FF000000"/>
        <sz val="11.0"/>
      </rPr>
      <t xml:space="preserve">  ___________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</si>
  <si>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Verysis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</si>
  <si>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Verysis</t>
    </r>
  </si>
  <si>
    <t>Co-Borrower:</t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</si>
  <si>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Data Check</t>
    </r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</si>
  <si>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Data Check</t>
    </r>
  </si>
  <si>
    <t>Relation : _________________</t>
  </si>
  <si>
    <t>__________________________________________</t>
  </si>
  <si>
    <t>Gross Income(p.m) : ________</t>
  </si>
  <si>
    <t>£</t>
  </si>
  <si>
    <t xml:space="preserve">Buy your Ghar: </t>
  </si>
  <si>
    <t xml:space="preserve">Build your Ghar: </t>
  </si>
  <si>
    <t>Build your Ghar:</t>
  </si>
  <si>
    <t>Cross Product Check :</t>
  </si>
  <si>
    <t xml:space="preserve">Renovate your Ghar: </t>
  </si>
  <si>
    <t>Renovate your Ghar</t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</si>
  <si>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Credit Card</t>
    </r>
  </si>
  <si>
    <t xml:space="preserve">Balance Transfer: </t>
  </si>
  <si>
    <r>
      <rPr>
        <rFont val="Noto Sans Symbols"/>
        <color rgb="FF000000"/>
        <sz val="12.0"/>
      </rPr>
      <t>£</t>
    </r>
    <r>
      <rPr>
        <rFont val="Times New Roman"/>
        <color rgb="FF000000"/>
        <sz val="12.0"/>
      </rPr>
      <t xml:space="preserve"> Auto Loan </t>
    </r>
  </si>
  <si>
    <t xml:space="preserve">Build and Buy Ghar: </t>
  </si>
  <si>
    <t xml:space="preserve">            ETB       –      NTB      –     NTI </t>
  </si>
  <si>
    <t>Apartment</t>
  </si>
  <si>
    <t>Plot</t>
  </si>
  <si>
    <t>House</t>
  </si>
  <si>
    <t>Risk Analysis</t>
  </si>
  <si>
    <t>Rate + KIBOR</t>
  </si>
  <si>
    <t xml:space="preserve">Floating  / Fixed  :  1  Year  KIBOR   + </t>
  </si>
  <si>
    <t>=</t>
  </si>
  <si>
    <t>%</t>
  </si>
  <si>
    <t>Equity Percentage</t>
  </si>
  <si>
    <t>Appraised Value</t>
  </si>
  <si>
    <t>Laon Applied</t>
  </si>
  <si>
    <t>Laon Tenor</t>
  </si>
  <si>
    <t>Income / Average Balance</t>
  </si>
  <si>
    <t>FSV</t>
  </si>
  <si>
    <t>LTV</t>
  </si>
  <si>
    <t>DBR%</t>
  </si>
  <si>
    <t>Application Score</t>
  </si>
  <si>
    <t>CIU Comments (If Any)</t>
  </si>
  <si>
    <t xml:space="preserve">     CP CHECKED______________</t>
  </si>
  <si>
    <t xml:space="preserve">   FRMU CHECKED  DATED ____________________</t>
  </si>
  <si>
    <t>OFFER LETTER DATED_____________</t>
  </si>
  <si>
    <t>Deviation</t>
  </si>
  <si>
    <t>No</t>
  </si>
  <si>
    <t>Reason For Stage 1 Deviation_______________________________</t>
  </si>
  <si>
    <t>Deviation Type</t>
  </si>
  <si>
    <t xml:space="preserve">     Level 1(GH-CRBG)</t>
  </si>
  <si>
    <t>K+4.25% /, Equity</t>
  </si>
  <si>
    <t>(Maximum 3 per</t>
  </si>
  <si>
    <t xml:space="preserve">     Level 2 (CPM or BH/Head of Product)</t>
  </si>
  <si>
    <t xml:space="preserve">Deviation </t>
  </si>
  <si>
    <t>case otherwise</t>
  </si>
  <si>
    <t xml:space="preserve">     Level 3 (CIU Head)</t>
  </si>
  <si>
    <t>Approval</t>
  </si>
  <si>
    <t>Exception)</t>
  </si>
  <si>
    <t>Risk Approval</t>
  </si>
  <si>
    <t>CIU Approval &amp; Date:</t>
  </si>
  <si>
    <t>Exception         Yes           No</t>
  </si>
  <si>
    <t>Recommended by GH – CRGB</t>
  </si>
  <si>
    <t>Approved by : President &amp; CEO</t>
  </si>
  <si>
    <t>Risk Approval &amp; Date:</t>
  </si>
  <si>
    <r>
      <rPr>
        <rFont val="Century Gothic"/>
        <b/>
        <color rgb="FF1F497D"/>
        <sz val="22.0"/>
      </rPr>
      <t>Credit Cards</t>
    </r>
    <r>
      <rPr>
        <rFont val="Century Gothic"/>
        <color rgb="FF1F497D"/>
        <sz val="22.0"/>
      </rPr>
      <t xml:space="preserve">  DBR |Calculator  - Inputs</t>
    </r>
  </si>
  <si>
    <t>Subhan Z. Ghanvi</t>
  </si>
  <si>
    <t>User Name</t>
  </si>
  <si>
    <t>kodev.ali@jsbl.com</t>
  </si>
  <si>
    <t>Customer Information</t>
  </si>
  <si>
    <t>Segments</t>
  </si>
  <si>
    <t>Income Calculations</t>
  </si>
  <si>
    <t>App ID</t>
  </si>
  <si>
    <t>Company Category</t>
  </si>
  <si>
    <t>Emp. Banking</t>
  </si>
  <si>
    <t>Fixed Income</t>
  </si>
  <si>
    <t>Name</t>
  </si>
  <si>
    <t>Employement Type</t>
  </si>
  <si>
    <t>CNIC</t>
  </si>
  <si>
    <t>Deviation (If any)</t>
  </si>
  <si>
    <t>Variable Income</t>
  </si>
  <si>
    <t>Date Of Birth</t>
  </si>
  <si>
    <t>Prime Tagging</t>
  </si>
  <si>
    <t>Total Income</t>
  </si>
  <si>
    <t>Age</t>
  </si>
  <si>
    <t>Target Market</t>
  </si>
  <si>
    <t>Deductiona</t>
  </si>
  <si>
    <t>Bureau</t>
  </si>
  <si>
    <t>Muliples</t>
  </si>
  <si>
    <t>Net Income</t>
  </si>
  <si>
    <t>Allowable Limit As Per Policy</t>
  </si>
  <si>
    <t>E - CIB Inputs</t>
  </si>
  <si>
    <t>Assigned Limit</t>
  </si>
  <si>
    <t>If
Manual 
Installment 
Select (Yes)</t>
  </si>
  <si>
    <t>Product</t>
  </si>
  <si>
    <t xml:space="preserve"> Term / 
EverGreen</t>
  </si>
  <si>
    <t>LIMIT</t>
  </si>
  <si>
    <t>Position as of</t>
  </si>
  <si>
    <t>Present Balance</t>
  </si>
  <si>
    <t>Minimum Amount Due</t>
  </si>
  <si>
    <t>30+</t>
  </si>
  <si>
    <t>60+</t>
  </si>
  <si>
    <t>90+</t>
  </si>
  <si>
    <t>Financing Date</t>
  </si>
  <si>
    <t>Maturity Date</t>
  </si>
  <si>
    <t>Sec / Un Sec</t>
  </si>
  <si>
    <t>Date check</t>
  </si>
  <si>
    <t>Manual Installment</t>
  </si>
  <si>
    <t xml:space="preserve"> </t>
  </si>
  <si>
    <t>* Version Vx21.3.0 - Limit Exposure Check| 12-October-2021</t>
  </si>
  <si>
    <t>Personal Information</t>
  </si>
  <si>
    <t>Ecib - EMI</t>
  </si>
  <si>
    <t>Customer Name</t>
  </si>
  <si>
    <t>Total EMI of All Products</t>
  </si>
  <si>
    <t>Total Market EMI Exc. JS Card</t>
  </si>
  <si>
    <t>Age of Applicant</t>
  </si>
  <si>
    <t>Total EMI of Unsecured.  Exc. JS Card</t>
  </si>
  <si>
    <t>Total EMI of Secured Products</t>
  </si>
  <si>
    <t>Employment Category</t>
  </si>
  <si>
    <t>Ecib - Exposures</t>
  </si>
  <si>
    <t>Prime</t>
  </si>
  <si>
    <t>Total Un-Secured Exposure. Availed</t>
  </si>
  <si>
    <t>Total  Market Unsecured Exp Exc. JS Card</t>
  </si>
  <si>
    <t>Ramaining Un-secured Exposure</t>
  </si>
  <si>
    <t>Income Estimation</t>
  </si>
  <si>
    <t>Gross Income</t>
  </si>
  <si>
    <t>Total Deductions</t>
  </si>
  <si>
    <t xml:space="preserve"> Net Income</t>
  </si>
  <si>
    <t>P</t>
  </si>
  <si>
    <t>Actual</t>
  </si>
  <si>
    <t>Actual with EOL</t>
  </si>
  <si>
    <t>Recommended Exposure</t>
  </si>
  <si>
    <t>Exposure</t>
  </si>
  <si>
    <t>Approved Limit</t>
  </si>
  <si>
    <t>EMI</t>
  </si>
  <si>
    <t>Current Debt Burden</t>
  </si>
  <si>
    <t xml:space="preserve">DB Allowed </t>
  </si>
  <si>
    <t>MDB PART</t>
  </si>
  <si>
    <t>oldest product (for Credit History (MDB))</t>
  </si>
  <si>
    <t>oldest product Unsecured</t>
  </si>
  <si>
    <t>oldest product Secured</t>
  </si>
  <si>
    <t>NEW</t>
  </si>
  <si>
    <t xml:space="preserve">T / E 
</t>
  </si>
  <si>
    <t>Limit</t>
  </si>
  <si>
    <t xml:space="preserve">Present Balance 
</t>
  </si>
  <si>
    <r>
      <rPr>
        <rFont val="Calibri"/>
        <b/>
        <color theme="1"/>
        <sz val="14.0"/>
      </rPr>
      <t xml:space="preserve">F / Date
</t>
    </r>
    <r>
      <rPr>
        <rFont val="Calibri"/>
        <b val="0"/>
        <color theme="1"/>
        <sz val="14.0"/>
      </rPr>
      <t>(Pls Don’t Leave Blank)</t>
    </r>
  </si>
  <si>
    <r>
      <rPr>
        <rFont val="Calibri"/>
        <b/>
        <color theme="1"/>
        <sz val="14.0"/>
      </rPr>
      <t xml:space="preserve">M/R Date
</t>
    </r>
    <r>
      <rPr>
        <rFont val="Calibri"/>
        <b val="0"/>
        <color theme="1"/>
        <sz val="14.0"/>
      </rPr>
      <t>(Pls Don't Leave Blank)</t>
    </r>
  </si>
  <si>
    <r>
      <rPr>
        <rFont val="Calibri"/>
        <b/>
        <color theme="1"/>
        <sz val="14.0"/>
      </rPr>
      <t xml:space="preserve">Sec / Unsec
</t>
    </r>
    <r>
      <rPr>
        <rFont val="Calibri"/>
        <b val="0"/>
        <color theme="1"/>
        <sz val="14.0"/>
      </rPr>
      <t>( must be filled )</t>
    </r>
  </si>
  <si>
    <t>Installment</t>
  </si>
  <si>
    <t>Rates</t>
  </si>
  <si>
    <t>Tenor (mths)</t>
  </si>
  <si>
    <t>Tenor (mths) crnt date</t>
  </si>
  <si>
    <t>Unsecured Dates</t>
  </si>
  <si>
    <t>Secured Dates</t>
  </si>
  <si>
    <t>Un-Secured 
Exposure</t>
  </si>
  <si>
    <t>a</t>
  </si>
  <si>
    <t>Secured 
Exposure</t>
  </si>
  <si>
    <t>Key</t>
  </si>
  <si>
    <t>NR</t>
  </si>
  <si>
    <t xml:space="preserve">
Exposure</t>
  </si>
  <si>
    <t>cc chheck</t>
  </si>
  <si>
    <t>count</t>
  </si>
  <si>
    <t>NTI</t>
  </si>
  <si>
    <t>NTB</t>
  </si>
  <si>
    <t>ETB</t>
  </si>
  <si>
    <t>Support Signer 1 Signature with Stamp:</t>
  </si>
  <si>
    <t>Credit Signer 2 Signature with Stamp:</t>
  </si>
  <si>
    <t>______________________________</t>
  </si>
  <si>
    <t>T/E</t>
  </si>
  <si>
    <t>SUB - Segments</t>
  </si>
  <si>
    <t>MOB-1</t>
  </si>
  <si>
    <t>MOB-2</t>
  </si>
  <si>
    <t>Term/Evergreen</t>
  </si>
  <si>
    <t>Unsec / Sec</t>
  </si>
  <si>
    <t>Rate</t>
  </si>
  <si>
    <t>Category A</t>
  </si>
  <si>
    <t>Permanent</t>
  </si>
  <si>
    <t>L1</t>
  </si>
  <si>
    <t>Yes</t>
  </si>
  <si>
    <t>T</t>
  </si>
  <si>
    <t>U</t>
  </si>
  <si>
    <t>Category B</t>
  </si>
  <si>
    <t>Contractual</t>
  </si>
  <si>
    <t>L2</t>
  </si>
  <si>
    <t>Category C</t>
  </si>
  <si>
    <t>L3</t>
  </si>
  <si>
    <t>HBC</t>
  </si>
  <si>
    <t>Non Approved Company</t>
  </si>
  <si>
    <t>PR</t>
  </si>
  <si>
    <t>No Deviation</t>
  </si>
  <si>
    <t>E</t>
  </si>
  <si>
    <t>LTM</t>
  </si>
  <si>
    <t>STM</t>
  </si>
  <si>
    <t>Mutiples</t>
  </si>
  <si>
    <t>Income</t>
  </si>
  <si>
    <t>S</t>
  </si>
  <si>
    <t>PRIME</t>
  </si>
  <si>
    <t>EB</t>
  </si>
  <si>
    <t>others</t>
  </si>
  <si>
    <t>NA</t>
  </si>
  <si>
    <t>Ascore</t>
  </si>
  <si>
    <t>Company Type</t>
  </si>
  <si>
    <t>STM / LTM</t>
  </si>
  <si>
    <t>SEB</t>
  </si>
  <si>
    <t>DBR</t>
  </si>
  <si>
    <t>Employee Banking</t>
  </si>
  <si>
    <t>Total EMI</t>
  </si>
  <si>
    <t>Limit As per Multiples</t>
  </si>
  <si>
    <t>NET income * 45%</t>
  </si>
  <si>
    <t>Limit As per DBR</t>
  </si>
  <si>
    <t>As per Uns Exposure</t>
  </si>
  <si>
    <t>Unsec Max Limit</t>
  </si>
  <si>
    <t>Self</t>
  </si>
  <si>
    <t>Weight</t>
  </si>
  <si>
    <t>Score</t>
  </si>
  <si>
    <t>Net</t>
  </si>
  <si>
    <t>Rating _A</t>
  </si>
  <si>
    <t>Rating _B</t>
  </si>
  <si>
    <t>Company Cat</t>
  </si>
  <si>
    <t>Score Band</t>
  </si>
  <si>
    <t>ORR</t>
  </si>
  <si>
    <t>7/8/9</t>
  </si>
  <si>
    <t>ESB</t>
  </si>
  <si>
    <t>&lt;20k</t>
  </si>
  <si>
    <t>&lt;40k</t>
  </si>
  <si>
    <t>&gt;20k- 50k</t>
  </si>
  <si>
    <t>&gt;40k- 65k</t>
  </si>
  <si>
    <t>&gt;50k- 100k</t>
  </si>
  <si>
    <t>&gt;65k- 100k</t>
  </si>
  <si>
    <t>&gt;100k</t>
  </si>
  <si>
    <t>100k- 200k</t>
  </si>
  <si>
    <t>&gt;200k</t>
  </si>
  <si>
    <t>Debt Burden</t>
  </si>
  <si>
    <t>&lt;20%</t>
  </si>
  <si>
    <t>&gt;20% - 30%</t>
  </si>
  <si>
    <t>&gt;30% - 40%</t>
  </si>
  <si>
    <t>&gt;40% - 50%</t>
  </si>
  <si>
    <t>&lt;18</t>
  </si>
  <si>
    <t>&gt;18 - 25</t>
  </si>
  <si>
    <t>&gt;25 - 30</t>
  </si>
  <si>
    <t>&gt;30 - 40</t>
  </si>
  <si>
    <t>&gt;40 - 50</t>
  </si>
  <si>
    <t>&gt;50 - 70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</si>
</sst>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_(* #,##0_);_(* \(#,##0\);_(* &quot;-&quot;??_);_(@_)"/>
    <numFmt numFmtId="165" formatCode="[$-F800]dddd\,\ mmmm\ dd\,\ yyyy"/>
    <numFmt numFmtId="166" formatCode="#####-#######-#"/>
    <numFmt numFmtId="167" formatCode="m/d/yyyy"/>
    <numFmt numFmtId="168" formatCode="_(* #,##0.00_);_(* \(#,##0.00\);_(* &quot;-&quot;??_);_(@_)"/>
    <numFmt numFmtId="169" formatCode="_(* #,##0.0_);_(* \(#,##0.0\);_(* &quot;-&quot;??_);_(@_)"/>
    <numFmt numFmtId="170" formatCode="d-mmm-yyyy"/>
    <numFmt numFmtId="171" formatCode="m/d/yy"/>
    <numFmt numFmtId="172" formatCode="M/d/yyyy"/>
    <numFmt numFmtId="173" formatCode="dd\-mmm\-yyyy"/>
    <numFmt numFmtId="174" formatCode="[$-409]d\-mmm\-yy"/>
    <numFmt numFmtId="175" formatCode="#,##0;[Red]#,##0"/>
    <numFmt numFmtId="176" formatCode="&quot;$&quot;#,##0"/>
    <numFmt numFmtId="177" formatCode="00000\-0000000\-0"/>
    <numFmt numFmtId="178" formatCode="&quot;&quot;"/>
    <numFmt numFmtId="179" formatCode="_(* #,##0_);_(* \(#,##0\);_(* \-??_);_(@_)"/>
    <numFmt numFmtId="180" formatCode="&quot;$&quot;#,##0.00_);[Red]\(&quot;$&quot;#,##0.00\)"/>
    <numFmt numFmtId="181" formatCode="0.0%"/>
    <numFmt numFmtId="182" formatCode="0.0"/>
    <numFmt numFmtId="183" formatCode="dd\-mm\-yyyy"/>
  </numFmts>
  <fonts count="4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8.0"/>
      <color rgb="FF000008"/>
      <name val="Arial"/>
    </font>
    <font>
      <b/>
      <sz val="10.0"/>
      <color rgb="FF000008"/>
      <name val="Arial"/>
    </font>
    <font>
      <sz val="12.0"/>
      <color theme="1"/>
      <name val="Calibri"/>
    </font>
    <font>
      <b/>
      <sz val="9.0"/>
      <color rgb="FF000008"/>
      <name val="Arial"/>
    </font>
    <font>
      <sz val="12.0"/>
      <color rgb="FF000000"/>
      <name val="Times New Roman"/>
    </font>
    <font>
      <sz val="11.0"/>
      <color rgb="FF000000"/>
      <name val="Noto Sans Symbols"/>
    </font>
    <font>
      <sz val="12.0"/>
      <color rgb="FF000000"/>
      <name val="Noto Sans Symbols"/>
    </font>
    <font>
      <b/>
      <sz val="10.0"/>
      <color rgb="FF000000"/>
      <name val="Arial"/>
    </font>
    <font>
      <sz val="11.0"/>
      <color rgb="FF000000"/>
      <name val="Times New Roman"/>
    </font>
    <font>
      <sz val="12.0"/>
      <color theme="1"/>
      <name val="Times New Roman"/>
    </font>
    <font>
      <sz val="12.0"/>
      <color theme="1"/>
      <name val="Noto Sans Symbols"/>
    </font>
    <font>
      <b/>
      <sz val="14.0"/>
      <color theme="1"/>
      <name val="Calibri"/>
    </font>
    <font>
      <b/>
      <sz val="12.0"/>
      <color theme="1"/>
      <name val="Calibri"/>
    </font>
    <font>
      <sz val="22.0"/>
      <color rgb="FF1F497D"/>
      <name val="Century Gothic"/>
    </font>
    <font>
      <b/>
      <sz val="12.0"/>
      <color rgb="FF17365D"/>
      <name val="Century Gothic"/>
    </font>
    <font>
      <sz val="12.0"/>
      <color theme="0"/>
      <name val="Calibri"/>
    </font>
    <font>
      <sz val="12.0"/>
      <color rgb="FFFFFFFF"/>
      <name val="Calibri"/>
    </font>
    <font>
      <sz val="9.0"/>
      <color rgb="FFBFBFBF"/>
      <name val="Calibri"/>
    </font>
    <font>
      <b/>
      <sz val="20.0"/>
      <color theme="1"/>
      <name val="Calibri"/>
    </font>
    <font>
      <b/>
      <sz val="22.0"/>
      <color rgb="FF1F497D"/>
      <name val="Century Gothic"/>
    </font>
    <font>
      <b/>
      <sz val="20.0"/>
      <color theme="0"/>
      <name val="Calibri"/>
    </font>
    <font>
      <b/>
      <sz val="12.0"/>
      <color theme="0"/>
      <name val="Calibri"/>
    </font>
    <font>
      <b/>
      <sz val="14.0"/>
      <color rgb="FF17365D"/>
      <name val="Century Gothic"/>
    </font>
    <font>
      <sz val="14.0"/>
      <color theme="1"/>
      <name val="Calibri"/>
    </font>
    <font>
      <sz val="14.0"/>
      <color theme="0"/>
      <name val="Calibri"/>
    </font>
    <font>
      <sz val="11.0"/>
      <color theme="0"/>
      <name val="Calibri"/>
    </font>
    <font>
      <sz val="14.0"/>
      <color rgb="FFFFFFFF"/>
      <name val="Calibri"/>
    </font>
    <font>
      <sz val="10.0"/>
      <color theme="0"/>
      <name val="Calibri"/>
    </font>
    <font>
      <b/>
      <sz val="14.0"/>
      <color theme="0"/>
      <name val="Calibri"/>
    </font>
    <font>
      <b/>
      <u/>
      <sz val="14.0"/>
      <color theme="1"/>
      <name val="Calibri"/>
    </font>
    <font>
      <b/>
      <sz val="14.0"/>
      <color rgb="FFFFFFFF"/>
      <name val="Calibri"/>
    </font>
    <font>
      <b/>
      <i/>
      <sz val="14.0"/>
      <color theme="1"/>
      <name val="Calibri"/>
    </font>
    <font>
      <i/>
      <sz val="14.0"/>
      <color theme="1"/>
      <name val="Calibri"/>
    </font>
    <font>
      <b/>
      <i/>
      <sz val="12.0"/>
      <color theme="1"/>
      <name val="Calibri"/>
    </font>
    <font>
      <i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11.0"/>
      <color theme="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  <fill>
      <patternFill patternType="solid">
        <fgColor rgb="FF99CCFF"/>
        <bgColor rgb="FF99CCFF"/>
      </patternFill>
    </fill>
    <fill>
      <patternFill patternType="solid">
        <fgColor rgb="FF8DB3E2"/>
        <bgColor rgb="FF8DB3E2"/>
      </patternFill>
    </fill>
    <fill>
      <patternFill patternType="solid">
        <fgColor rgb="FFDAEEF3"/>
        <bgColor rgb="FFDAEEF3"/>
      </patternFill>
    </fill>
    <fill>
      <patternFill patternType="solid">
        <fgColor rgb="FFFFFF99"/>
        <bgColor rgb="FFFFFF99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FCC00"/>
        <bgColor rgb="FFFFCC00"/>
      </patternFill>
    </fill>
    <fill>
      <patternFill patternType="solid">
        <fgColor rgb="FFD99594"/>
        <bgColor rgb="FFD99594"/>
      </patternFill>
    </fill>
    <fill>
      <patternFill patternType="solid">
        <fgColor theme="6"/>
        <bgColor theme="6"/>
      </patternFill>
    </fill>
    <fill>
      <patternFill patternType="solid">
        <fgColor rgb="FFE5B8B7"/>
        <bgColor rgb="FFE5B8B7"/>
      </patternFill>
    </fill>
    <fill>
      <patternFill patternType="solid">
        <fgColor rgb="FFB2A1C7"/>
        <bgColor rgb="FFB2A1C7"/>
      </patternFill>
    </fill>
    <fill>
      <patternFill patternType="solid">
        <fgColor rgb="FF548DD4"/>
        <bgColor rgb="FF548DD4"/>
      </patternFill>
    </fill>
    <fill>
      <patternFill patternType="solid">
        <fgColor rgb="FFC2D69B"/>
        <bgColor rgb="FFC2D69B"/>
      </patternFill>
    </fill>
    <fill>
      <patternFill patternType="solid">
        <fgColor rgb="FFD6E3BC"/>
        <bgColor rgb="FFD6E3BC"/>
      </patternFill>
    </fill>
  </fills>
  <borders count="7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A5A5A5"/>
      </bottom>
    </border>
    <border>
      <right style="thin">
        <color rgb="FFA5A5A5"/>
      </right>
      <top/>
      <bottom/>
    </border>
    <border>
      <left style="thin">
        <color rgb="FFA5A5A5"/>
      </left>
    </border>
    <border>
      <top style="thin">
        <color rgb="FFA5A5A5"/>
      </top>
    </border>
    <border>
      <left/>
      <top/>
      <bottom style="thin">
        <color theme="0"/>
      </bottom>
    </border>
    <border>
      <top/>
      <bottom style="thin">
        <color theme="0"/>
      </bottom>
    </border>
    <border>
      <right/>
      <top/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E36C09"/>
      </left>
      <top style="medium">
        <color rgb="FFE36C09"/>
      </top>
    </border>
    <border>
      <top style="medium">
        <color rgb="FFE36C09"/>
      </top>
    </border>
    <border>
      <left/>
      <right style="medium">
        <color rgb="FFE36C09"/>
      </right>
      <top style="medium">
        <color rgb="FFE36C09"/>
      </top>
      <bottom/>
    </border>
    <border>
      <left style="medium">
        <color rgb="FFE36C09"/>
      </left>
      <bottom style="medium">
        <color rgb="FFE36C09"/>
      </bottom>
    </border>
    <border>
      <bottom style="medium">
        <color rgb="FFE36C09"/>
      </bottom>
    </border>
    <border>
      <left/>
      <right style="medium">
        <color rgb="FFE36C09"/>
      </right>
      <top/>
      <bottom style="medium">
        <color rgb="FFE36C09"/>
      </bottom>
    </border>
    <border>
      <right style="medium">
        <color rgb="FFE36C09"/>
      </right>
      <top style="medium">
        <color rgb="FFE36C09"/>
      </top>
    </border>
    <border>
      <left style="medium">
        <color rgb="FFE36C09"/>
      </left>
    </border>
    <border>
      <left/>
      <right style="medium">
        <color rgb="FFE36C09"/>
      </right>
      <top/>
      <bottom/>
    </border>
    <border>
      <left style="medium">
        <color rgb="FFE36C09"/>
      </left>
      <right/>
      <top style="medium">
        <color rgb="FFE36C09"/>
      </top>
      <bottom/>
    </border>
    <border>
      <left/>
      <right/>
      <top style="medium">
        <color rgb="FFE36C09"/>
      </top>
      <bottom/>
    </border>
    <border>
      <left style="medium">
        <color rgb="FFE36C09"/>
      </left>
      <right/>
      <top/>
      <bottom/>
    </border>
    <border>
      <left style="medium">
        <color rgb="FFE36C09"/>
      </left>
      <right/>
      <top/>
      <bottom style="medium">
        <color rgb="FFE36C09"/>
      </bottom>
    </border>
    <border>
      <left/>
      <right/>
      <top/>
      <bottom style="medium">
        <color rgb="FFE36C09"/>
      </bottom>
    </border>
  </borders>
  <cellStyleXfs count="1">
    <xf borderId="0" fillId="0" fontId="0" numFmtId="0" applyAlignment="1" applyFont="1"/>
  </cellStyleXfs>
  <cellXfs count="4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1" numFmtId="0" xfId="0" applyBorder="1" applyFont="1"/>
    <xf borderId="5" fillId="0" fontId="5" numFmtId="0" xfId="0" applyAlignment="1" applyBorder="1" applyFont="1">
      <alignment horizontal="left"/>
    </xf>
    <xf borderId="6" fillId="0" fontId="4" numFmtId="0" xfId="0" applyBorder="1" applyFont="1"/>
    <xf borderId="6" fillId="0" fontId="2" numFmtId="0" xfId="0" applyBorder="1" applyFont="1"/>
    <xf borderId="6" fillId="0" fontId="6" numFmtId="0" xfId="0" applyBorder="1" applyFont="1"/>
    <xf borderId="6" fillId="0" fontId="7" numFmtId="0" xfId="0" applyAlignment="1" applyBorder="1" applyFont="1">
      <alignment vertical="center"/>
    </xf>
    <xf borderId="6" fillId="0" fontId="1" numFmtId="0" xfId="0" applyBorder="1" applyFont="1"/>
    <xf borderId="7" fillId="0" fontId="1" numFmtId="0" xfId="0" applyBorder="1" applyFont="1"/>
    <xf borderId="5" fillId="0" fontId="6" numFmtId="0" xfId="0" applyBorder="1" applyFont="1"/>
    <xf borderId="8" fillId="0" fontId="1" numFmtId="0" xfId="0" applyBorder="1" applyFont="1"/>
    <xf borderId="9" fillId="0" fontId="6" numFmtId="0" xfId="0" applyAlignment="1" applyBorder="1" applyFont="1">
      <alignment horizontal="center"/>
    </xf>
    <xf borderId="10" fillId="0" fontId="4" numFmtId="0" xfId="0" applyBorder="1" applyFont="1"/>
    <xf borderId="9" fillId="0" fontId="6" numFmtId="0" xfId="0" applyAlignment="1" applyBorder="1" applyFont="1">
      <alignment horizontal="left"/>
    </xf>
    <xf borderId="11" fillId="0" fontId="2" numFmtId="0" xfId="0" applyBorder="1" applyFont="1"/>
    <xf borderId="11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9" fillId="0" fontId="6" numFmtId="0" xfId="0" applyBorder="1" applyFont="1"/>
    <xf borderId="11" fillId="0" fontId="6" numFmtId="0" xfId="0" applyBorder="1" applyFont="1"/>
    <xf borderId="11" fillId="0" fontId="7" numFmtId="49" xfId="0" applyAlignment="1" applyBorder="1" applyFont="1" applyNumberFormat="1">
      <alignment vertical="center"/>
    </xf>
    <xf borderId="12" fillId="0" fontId="2" numFmtId="0" xfId="0" applyBorder="1" applyFont="1"/>
    <xf borderId="12" fillId="0" fontId="6" numFmtId="0" xfId="0" applyBorder="1" applyFont="1"/>
    <xf borderId="0" fillId="0" fontId="6" numFmtId="0" xfId="0" applyFont="1"/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/>
    </xf>
    <xf borderId="12" fillId="0" fontId="1" numFmtId="0" xfId="0" applyBorder="1" applyFont="1"/>
    <xf borderId="0" fillId="0" fontId="8" numFmtId="0" xfId="0" applyFont="1"/>
    <xf borderId="8" fillId="0" fontId="2" numFmtId="0" xfId="0" applyBorder="1" applyFont="1"/>
    <xf borderId="5" fillId="0" fontId="2" numFmtId="0" xfId="0" applyBorder="1" applyFont="1"/>
    <xf borderId="7" fillId="0" fontId="2" numFmtId="0" xfId="0" applyBorder="1" applyFont="1"/>
    <xf borderId="5" fillId="0" fontId="1" numFmtId="0" xfId="0" applyBorder="1" applyFont="1"/>
    <xf borderId="13" fillId="2" fontId="6" numFmtId="0" xfId="0" applyBorder="1" applyFont="1"/>
    <xf borderId="14" fillId="2" fontId="2" numFmtId="0" xfId="0" applyBorder="1" applyFont="1"/>
    <xf borderId="4" fillId="2" fontId="2" numFmtId="0" xfId="0" applyBorder="1" applyFont="1"/>
    <xf borderId="15" fillId="2" fontId="6" numFmtId="0" xfId="0" applyBorder="1" applyFont="1"/>
    <xf borderId="15" fillId="2" fontId="2" numFmtId="0" xfId="0" applyBorder="1" applyFont="1"/>
    <xf borderId="14" fillId="2" fontId="1" numFmtId="0" xfId="0" applyBorder="1" applyFont="1"/>
    <xf borderId="16" fillId="0" fontId="9" numFmtId="0" xfId="0" applyAlignment="1" applyBorder="1" applyFont="1">
      <alignment horizontal="left" vertical="center"/>
    </xf>
    <xf borderId="17" fillId="0" fontId="2" numFmtId="0" xfId="0" applyBorder="1" applyFont="1"/>
    <xf borderId="17" fillId="0" fontId="9" numFmtId="0" xfId="0" applyAlignment="1" applyBorder="1" applyFont="1">
      <alignment horizontal="left" vertical="center"/>
    </xf>
    <xf borderId="18" fillId="0" fontId="2" numFmtId="0" xfId="0" applyBorder="1" applyFont="1"/>
    <xf borderId="17" fillId="0" fontId="9" numFmtId="0" xfId="0" applyAlignment="1" applyBorder="1" applyFont="1">
      <alignment vertical="center"/>
    </xf>
    <xf borderId="17" fillId="0" fontId="1" numFmtId="0" xfId="0" applyBorder="1" applyFont="1"/>
    <xf borderId="18" fillId="0" fontId="1" numFmtId="0" xfId="0" applyBorder="1" applyFont="1"/>
    <xf borderId="12" fillId="0" fontId="10" numFmtId="0" xfId="0" applyAlignment="1" applyBorder="1" applyFont="1">
      <alignment horizontal="left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12" fillId="0" fontId="11" numFmtId="0" xfId="0" applyAlignment="1" applyBorder="1" applyFont="1">
      <alignment horizontal="left" vertical="center"/>
    </xf>
    <xf borderId="0" fillId="0" fontId="7" numFmtId="4" xfId="0" applyAlignment="1" applyFont="1" applyNumberFormat="1">
      <alignment horizontal="center"/>
    </xf>
    <xf borderId="0" fillId="0" fontId="12" numFmtId="0" xfId="0" applyFont="1"/>
    <xf borderId="0" fillId="0" fontId="13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1" numFmtId="0" xfId="0" applyFont="1"/>
    <xf borderId="0" fillId="0" fontId="9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9" numFmtId="0" xfId="0" applyFont="1"/>
    <xf borderId="0" fillId="0" fontId="11" numFmtId="0" xfId="0" applyAlignment="1" applyFont="1">
      <alignment horizontal="left" vertical="center"/>
    </xf>
    <xf borderId="12" fillId="0" fontId="15" numFmtId="0" xfId="0" applyAlignment="1" applyBorder="1" applyFont="1">
      <alignment horizontal="left" vertical="center"/>
    </xf>
    <xf borderId="6" fillId="0" fontId="12" numFmtId="0" xfId="0" applyBorder="1" applyFont="1"/>
    <xf borderId="6" fillId="0" fontId="11" numFmtId="0" xfId="0" applyBorder="1" applyFont="1"/>
    <xf borderId="19" fillId="2" fontId="2" numFmtId="0" xfId="0" applyBorder="1" applyFont="1"/>
    <xf borderId="20" fillId="2" fontId="2" numFmtId="0" xfId="0" applyBorder="1" applyFont="1"/>
    <xf borderId="20" fillId="2" fontId="6" numFmtId="0" xfId="0" applyBorder="1" applyFont="1"/>
    <xf borderId="20" fillId="2" fontId="1" numFmtId="0" xfId="0" applyBorder="1" applyFont="1"/>
    <xf borderId="21" fillId="2" fontId="1" numFmtId="0" xfId="0" applyBorder="1" applyFont="1"/>
    <xf borderId="10" fillId="0" fontId="2" numFmtId="0" xfId="0" applyBorder="1" applyFont="1"/>
    <xf borderId="9" fillId="0" fontId="12" numFmtId="0" xfId="0" applyBorder="1" applyFont="1"/>
    <xf borderId="11" fillId="0" fontId="2" numFmtId="10" xfId="0" applyBorder="1" applyFont="1" applyNumberFormat="1"/>
    <xf borderId="11" fillId="0" fontId="16" numFmtId="10" xfId="0" applyAlignment="1" applyBorder="1" applyFont="1" applyNumberFormat="1">
      <alignment horizontal="left" vertical="center"/>
    </xf>
    <xf borderId="9" fillId="0" fontId="16" numFmtId="9" xfId="0" applyAlignment="1" applyBorder="1" applyFont="1" applyNumberFormat="1">
      <alignment horizontal="center" vertical="center"/>
    </xf>
    <xf borderId="16" fillId="0" fontId="6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1" fillId="0" fontId="7" numFmtId="0" xfId="0" applyAlignment="1" applyBorder="1" applyFont="1">
      <alignment vertical="center"/>
    </xf>
    <xf borderId="11" fillId="0" fontId="17" numFmtId="1" xfId="0" applyBorder="1" applyFont="1" applyNumberFormat="1"/>
    <xf borderId="10" fillId="0" fontId="16" numFmtId="1" xfId="0" applyBorder="1" applyFont="1" applyNumberFormat="1"/>
    <xf borderId="12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8" fillId="0" fontId="6" numFmtId="0" xfId="0" applyAlignment="1" applyBorder="1" applyFont="1">
      <alignment vertical="center"/>
    </xf>
    <xf borderId="11" fillId="0" fontId="16" numFmtId="164" xfId="0" applyAlignment="1" applyBorder="1" applyFont="1" applyNumberFormat="1">
      <alignment vertical="center"/>
    </xf>
    <xf borderId="10" fillId="0" fontId="1" numFmtId="0" xfId="0" applyAlignment="1" applyBorder="1" applyFont="1">
      <alignment horizontal="left"/>
    </xf>
    <xf borderId="11" fillId="0" fontId="12" numFmtId="0" xfId="0" applyBorder="1" applyFont="1"/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9" fillId="0" fontId="16" numFmtId="3" xfId="0" applyAlignment="1" applyBorder="1" applyFont="1" applyNumberFormat="1">
      <alignment horizontal="center" vertical="center"/>
    </xf>
    <xf borderId="16" fillId="0" fontId="6" numFmtId="0" xfId="0" applyBorder="1" applyFont="1"/>
    <xf borderId="16" fillId="0" fontId="2" numFmtId="0" xfId="0" applyBorder="1" applyFont="1"/>
    <xf borderId="5" fillId="0" fontId="16" numFmtId="164" xfId="0" applyAlignment="1" applyBorder="1" applyFont="1" applyNumberFormat="1">
      <alignment horizontal="right" vertical="center"/>
    </xf>
    <xf borderId="16" fillId="0" fontId="6" numFmtId="0" xfId="0" applyAlignment="1" applyBorder="1" applyFont="1">
      <alignment horizontal="left" vertical="center"/>
    </xf>
    <xf borderId="17" fillId="0" fontId="4" numFmtId="0" xfId="0" applyBorder="1" applyFont="1"/>
    <xf borderId="18" fillId="0" fontId="4" numFmtId="0" xfId="0" applyBorder="1" applyFont="1"/>
    <xf borderId="5" fillId="0" fontId="4" numFmtId="0" xfId="0" applyBorder="1" applyFont="1"/>
    <xf borderId="7" fillId="0" fontId="4" numFmtId="0" xfId="0" applyBorder="1" applyFont="1"/>
    <xf borderId="6" fillId="0" fontId="16" numFmtId="3" xfId="0" applyAlignment="1" applyBorder="1" applyFont="1" applyNumberFormat="1">
      <alignment horizontal="right" vertical="center"/>
    </xf>
    <xf borderId="9" fillId="0" fontId="1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1" fillId="0" fontId="12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9" fillId="0" fontId="16" numFmtId="10" xfId="0" applyAlignment="1" applyBorder="1" applyFont="1" applyNumberFormat="1">
      <alignment vertical="center"/>
    </xf>
    <xf borderId="9" fillId="0" fontId="16" numFmtId="164" xfId="0" applyAlignment="1" applyBorder="1" applyFont="1" applyNumberFormat="1">
      <alignment vertical="center"/>
    </xf>
    <xf borderId="22" fillId="3" fontId="2" numFmtId="0" xfId="0" applyBorder="1" applyFill="1" applyFont="1"/>
    <xf borderId="23" fillId="3" fontId="2" numFmtId="0" xfId="0" applyBorder="1" applyFont="1"/>
    <xf borderId="23" fillId="3" fontId="6" numFmtId="0" xfId="0" applyBorder="1" applyFont="1"/>
    <xf borderId="23" fillId="3" fontId="1" numFmtId="0" xfId="0" applyBorder="1" applyFont="1"/>
    <xf borderId="24" fillId="3" fontId="1" numFmtId="0" xfId="0" applyBorder="1" applyFont="1"/>
    <xf borderId="25" fillId="3" fontId="2" numFmtId="0" xfId="0" applyBorder="1" applyFont="1"/>
    <xf borderId="15" fillId="3" fontId="2" numFmtId="0" xfId="0" applyBorder="1" applyFont="1"/>
    <xf borderId="15" fillId="3" fontId="1" numFmtId="0" xfId="0" applyBorder="1" applyFont="1"/>
    <xf borderId="26" fillId="3" fontId="1" numFmtId="0" xfId="0" applyBorder="1" applyFont="1"/>
    <xf borderId="19" fillId="3" fontId="2" numFmtId="0" xfId="0" applyBorder="1" applyFont="1"/>
    <xf borderId="20" fillId="3" fontId="2" numFmtId="0" xfId="0" applyBorder="1" applyFont="1"/>
    <xf borderId="20" fillId="3" fontId="1" numFmtId="0" xfId="0" applyBorder="1" applyFont="1"/>
    <xf borderId="21" fillId="3" fontId="1" numFmtId="0" xfId="0" applyBorder="1" applyFont="1"/>
    <xf borderId="22" fillId="2" fontId="6" numFmtId="0" xfId="0" applyBorder="1" applyFont="1"/>
    <xf borderId="23" fillId="2" fontId="12" numFmtId="0" xfId="0" applyBorder="1" applyFont="1"/>
    <xf borderId="23" fillId="2" fontId="6" numFmtId="0" xfId="0" applyBorder="1" applyFont="1"/>
    <xf borderId="23" fillId="2" fontId="2" numFmtId="0" xfId="0" applyBorder="1" applyFont="1"/>
    <xf borderId="23" fillId="2" fontId="1" numFmtId="0" xfId="0" applyBorder="1" applyFont="1"/>
    <xf borderId="24" fillId="2" fontId="1" numFmtId="0" xfId="0" applyBorder="1" applyFont="1"/>
    <xf borderId="16" fillId="0" fontId="12" numFmtId="0" xfId="0" applyBorder="1" applyFont="1"/>
    <xf borderId="27" fillId="0" fontId="1" numFmtId="0" xfId="0" applyBorder="1" applyFont="1"/>
    <xf borderId="12" fillId="0" fontId="12" numFmtId="0" xfId="0" applyBorder="1" applyFont="1"/>
    <xf borderId="28" fillId="0" fontId="6" numFmtId="0" xfId="0" applyBorder="1" applyFont="1"/>
    <xf borderId="22" fillId="2" fontId="1" numFmtId="0" xfId="0" applyBorder="1" applyFont="1"/>
    <xf borderId="16" fillId="0" fontId="1" numFmtId="0" xfId="0" applyBorder="1" applyFont="1"/>
    <xf borderId="0" fillId="0" fontId="7" numFmtId="0" xfId="0" applyFont="1"/>
    <xf borderId="0" fillId="0" fontId="18" numFmtId="0" xfId="0" applyAlignment="1" applyFont="1">
      <alignment vertical="center"/>
    </xf>
    <xf borderId="15" fillId="4" fontId="7" numFmtId="0" xfId="0" applyBorder="1" applyFill="1" applyFont="1"/>
    <xf borderId="15" fillId="5" fontId="17" numFmtId="0" xfId="0" applyAlignment="1" applyBorder="1" applyFill="1" applyFont="1">
      <alignment horizontal="center" vertical="center"/>
    </xf>
    <xf borderId="29" fillId="6" fontId="17" numFmtId="0" xfId="0" applyAlignment="1" applyBorder="1" applyFill="1" applyFont="1">
      <alignment horizontal="center" readingOrder="0" vertical="center"/>
    </xf>
    <xf borderId="30" fillId="0" fontId="4" numFmtId="0" xfId="0" applyBorder="1" applyFont="1"/>
    <xf borderId="31" fillId="0" fontId="4" numFmtId="0" xfId="0" applyBorder="1" applyFont="1"/>
    <xf borderId="15" fillId="5" fontId="17" numFmtId="165" xfId="0" applyAlignment="1" applyBorder="1" applyFont="1" applyNumberFormat="1">
      <alignment horizontal="center" vertical="center"/>
    </xf>
    <xf borderId="15" fillId="5" fontId="7" numFmtId="0" xfId="0" applyAlignment="1" applyBorder="1" applyFont="1">
      <alignment horizontal="center" vertical="center"/>
    </xf>
    <xf borderId="32" fillId="5" fontId="17" numFmtId="165" xfId="0" applyAlignment="1" applyBorder="1" applyFont="1" applyNumberFormat="1">
      <alignment horizontal="right" vertical="center"/>
    </xf>
    <xf borderId="33" fillId="0" fontId="4" numFmtId="0" xfId="0" applyBorder="1" applyFont="1"/>
    <xf borderId="34" fillId="0" fontId="4" numFmtId="0" xfId="0" applyBorder="1" applyFont="1"/>
    <xf borderId="0" fillId="0" fontId="7" numFmtId="0" xfId="0" applyAlignment="1" applyFont="1">
      <alignment horizontal="center"/>
    </xf>
    <xf borderId="35" fillId="7" fontId="7" numFmtId="0" xfId="0" applyAlignment="1" applyBorder="1" applyFill="1" applyFont="1">
      <alignment horizont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36" fillId="0" fontId="17" numFmtId="0" xfId="0" applyAlignment="1" applyBorder="1" applyFont="1">
      <alignment horizontal="center" vertical="center"/>
    </xf>
    <xf borderId="36" fillId="0" fontId="4" numFmtId="0" xfId="0" applyBorder="1" applyFont="1"/>
    <xf borderId="15" fillId="8" fontId="20" numFmtId="0" xfId="0" applyAlignment="1" applyBorder="1" applyFill="1" applyFont="1">
      <alignment horizontal="center" vertical="center"/>
    </xf>
    <xf borderId="29" fillId="6" fontId="7" numFmtId="0" xfId="0" applyAlignment="1" applyBorder="1" applyFont="1">
      <alignment horizontal="left" readingOrder="0"/>
    </xf>
    <xf borderId="32" fillId="8" fontId="20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15" fillId="8" fontId="20" numFmtId="0" xfId="0" applyAlignment="1" applyBorder="1" applyFont="1">
      <alignment vertical="center"/>
    </xf>
    <xf borderId="29" fillId="6" fontId="7" numFmtId="164" xfId="0" applyAlignment="1" applyBorder="1" applyFont="1" applyNumberFormat="1">
      <alignment horizontal="left" readingOrder="0"/>
    </xf>
    <xf borderId="29" fillId="0" fontId="7" numFmtId="164" xfId="0" applyAlignment="1" applyBorder="1" applyFont="1" applyNumberFormat="1">
      <alignment horizontal="center"/>
    </xf>
    <xf borderId="29" fillId="6" fontId="7" numFmtId="166" xfId="0" applyAlignment="1" applyBorder="1" applyFont="1" applyNumberFormat="1">
      <alignment horizontal="left" readingOrder="0"/>
    </xf>
    <xf borderId="37" fillId="0" fontId="4" numFmtId="0" xfId="0" applyBorder="1" applyFont="1"/>
    <xf borderId="29" fillId="6" fontId="7" numFmtId="167" xfId="0" applyAlignment="1" applyBorder="1" applyFont="1" applyNumberFormat="1">
      <alignment horizontal="left" readingOrder="0"/>
    </xf>
    <xf borderId="29" fillId="0" fontId="7" numFmtId="4" xfId="0" applyAlignment="1" applyBorder="1" applyFont="1" applyNumberFormat="1">
      <alignment readingOrder="0" vertical="center"/>
    </xf>
    <xf borderId="0" fillId="0" fontId="7" numFmtId="4" xfId="0" applyAlignment="1" applyFont="1" applyNumberFormat="1">
      <alignment vertical="center"/>
    </xf>
    <xf borderId="29" fillId="0" fontId="17" numFmtId="164" xfId="0" applyAlignment="1" applyBorder="1" applyFont="1" applyNumberFormat="1">
      <alignment horizontal="center"/>
    </xf>
    <xf borderId="29" fillId="0" fontId="7" numFmtId="4" xfId="0" applyAlignment="1" applyBorder="1" applyFont="1" applyNumberFormat="1">
      <alignment horizontal="left"/>
    </xf>
    <xf borderId="29" fillId="0" fontId="7" numFmtId="4" xfId="0" applyAlignment="1" applyBorder="1" applyFont="1" applyNumberFormat="1">
      <alignment horizontal="left" vertical="center"/>
    </xf>
    <xf borderId="29" fillId="6" fontId="21" numFmtId="164" xfId="0" applyAlignment="1" applyBorder="1" applyFont="1" applyNumberFormat="1">
      <alignment horizontal="left" readingOrder="0"/>
    </xf>
    <xf borderId="0" fillId="0" fontId="7" numFmtId="168" xfId="0" applyFont="1" applyNumberFormat="1"/>
    <xf borderId="0" fillId="0" fontId="22" numFmtId="0" xfId="0" applyAlignment="1" applyFont="1">
      <alignment horizontal="center"/>
    </xf>
    <xf borderId="0" fillId="0" fontId="23" numFmtId="0" xfId="0" applyAlignment="1" applyFont="1">
      <alignment vertical="center"/>
    </xf>
    <xf borderId="0" fillId="0" fontId="20" numFmtId="0" xfId="0" applyAlignment="1" applyFont="1">
      <alignment horizontal="center"/>
    </xf>
    <xf borderId="29" fillId="0" fontId="7" numFmtId="164" xfId="0" applyAlignment="1" applyBorder="1" applyFont="1" applyNumberFormat="1">
      <alignment horizontal="left" vertical="center"/>
    </xf>
    <xf borderId="0" fillId="0" fontId="22" numFmtId="169" xfId="0" applyAlignment="1" applyFont="1" applyNumberFormat="1">
      <alignment horizontal="center"/>
    </xf>
    <xf borderId="0" fillId="0" fontId="24" numFmtId="0" xfId="0" applyAlignment="1" applyFont="1">
      <alignment horizontal="center" vertical="center"/>
    </xf>
    <xf borderId="38" fillId="0" fontId="17" numFmtId="0" xfId="0" applyAlignment="1" applyBorder="1" applyFont="1">
      <alignment horizontal="center" vertical="center"/>
    </xf>
    <xf borderId="39" fillId="0" fontId="17" numFmtId="0" xfId="0" applyAlignment="1" applyBorder="1" applyFont="1">
      <alignment horizontal="center" vertical="center"/>
    </xf>
    <xf borderId="39" fillId="0" fontId="4" numFmtId="0" xfId="0" applyBorder="1" applyFont="1"/>
    <xf borderId="38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0" fontId="23" numFmtId="168" xfId="0" applyAlignment="1" applyFont="1" applyNumberFormat="1">
      <alignment vertical="center"/>
    </xf>
    <xf borderId="40" fillId="9" fontId="25" numFmtId="0" xfId="0" applyAlignment="1" applyBorder="1" applyFill="1" applyFont="1">
      <alignment horizontal="center" vertical="center"/>
    </xf>
    <xf borderId="41" fillId="0" fontId="4" numFmtId="0" xfId="0" applyBorder="1" applyFont="1"/>
    <xf borderId="42" fillId="0" fontId="4" numFmtId="0" xfId="0" applyBorder="1" applyFont="1"/>
    <xf borderId="43" fillId="8" fontId="26" numFmtId="0" xfId="0" applyAlignment="1" applyBorder="1" applyFont="1">
      <alignment horizontal="center" vertical="center"/>
    </xf>
    <xf borderId="43" fillId="8" fontId="26" numFmtId="0" xfId="0" applyAlignment="1" applyBorder="1" applyFont="1">
      <alignment horizontal="center" shrinkToFit="0" vertical="center" wrapText="1"/>
    </xf>
    <xf borderId="35" fillId="10" fontId="7" numFmtId="0" xfId="0" applyAlignment="1" applyBorder="1" applyFill="1" applyFont="1">
      <alignment horizontal="center" readingOrder="0"/>
    </xf>
    <xf borderId="35" fillId="7" fontId="7" numFmtId="0" xfId="0" applyAlignment="1" applyBorder="1" applyFont="1">
      <alignment horizontal="center" readingOrder="0"/>
    </xf>
    <xf borderId="35" fillId="7" fontId="7" numFmtId="170" xfId="0" applyAlignment="1" applyBorder="1" applyFont="1" applyNumberFormat="1">
      <alignment horizontal="center" readingOrder="0"/>
    </xf>
    <xf borderId="35" fillId="7" fontId="7" numFmtId="164" xfId="0" applyAlignment="1" applyBorder="1" applyFont="1" applyNumberFormat="1">
      <alignment horizontal="center" readingOrder="0"/>
    </xf>
    <xf borderId="35" fillId="7" fontId="7" numFmtId="171" xfId="0" applyAlignment="1" applyBorder="1" applyFont="1" applyNumberFormat="1">
      <alignment horizontal="center" readingOrder="0"/>
    </xf>
    <xf borderId="44" fillId="10" fontId="17" numFmtId="164" xfId="0" applyAlignment="1" applyBorder="1" applyFont="1" applyNumberFormat="1">
      <alignment horizontal="center" readingOrder="0"/>
    </xf>
    <xf borderId="44" fillId="10" fontId="7" numFmtId="0" xfId="0" applyAlignment="1" applyBorder="1" applyFont="1">
      <alignment horizontal="center" readingOrder="0"/>
    </xf>
    <xf borderId="35" fillId="7" fontId="7" numFmtId="167" xfId="0" applyAlignment="1" applyBorder="1" applyFont="1" applyNumberFormat="1">
      <alignment horizontal="center" readingOrder="0"/>
    </xf>
    <xf borderId="44" fillId="10" fontId="17" numFmtId="164" xfId="0" applyAlignment="1" applyBorder="1" applyFont="1" applyNumberFormat="1">
      <alignment horizontal="center"/>
    </xf>
    <xf borderId="44" fillId="10" fontId="7" numFmtId="0" xfId="0" applyAlignment="1" applyBorder="1" applyFont="1">
      <alignment horizontal="center"/>
    </xf>
    <xf borderId="35" fillId="7" fontId="7" numFmtId="164" xfId="0" applyAlignment="1" applyBorder="1" applyFont="1" applyNumberFormat="1">
      <alignment horizontal="center"/>
    </xf>
    <xf borderId="35" fillId="7" fontId="7" numFmtId="172" xfId="0" applyAlignment="1" applyBorder="1" applyFont="1" applyNumberFormat="1">
      <alignment horizontal="center" readingOrder="0"/>
    </xf>
    <xf borderId="35" fillId="7" fontId="7" numFmtId="173" xfId="0" applyAlignment="1" applyBorder="1" applyFont="1" applyNumberFormat="1">
      <alignment horizontal="center"/>
    </xf>
    <xf borderId="35" fillId="7" fontId="7" numFmtId="174" xfId="0" applyAlignment="1" applyBorder="1" applyFont="1" applyNumberFormat="1">
      <alignment horizontal="center"/>
    </xf>
    <xf borderId="35" fillId="7" fontId="7" numFmtId="172" xfId="0" applyAlignment="1" applyBorder="1" applyFont="1" applyNumberFormat="1">
      <alignment horizontal="center"/>
    </xf>
    <xf borderId="0" fillId="0" fontId="18" numFmtId="0" xfId="0" applyAlignment="1" applyFont="1">
      <alignment readingOrder="0" vertical="center"/>
    </xf>
    <xf borderId="15" fillId="11" fontId="7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horizontal="left"/>
    </xf>
    <xf borderId="15" fillId="11" fontId="17" numFmtId="0" xfId="0" applyAlignment="1" applyBorder="1" applyFont="1">
      <alignment horizontal="left" vertical="center"/>
    </xf>
    <xf borderId="15" fillId="11" fontId="17" numFmtId="0" xfId="0" applyAlignment="1" applyBorder="1" applyFont="1">
      <alignment horizontal="center" vertical="center"/>
    </xf>
    <xf borderId="15" fillId="11" fontId="7" numFmtId="0" xfId="0" applyAlignment="1" applyBorder="1" applyFont="1">
      <alignment vertical="center"/>
    </xf>
    <xf borderId="15" fillId="11" fontId="7" numFmtId="0" xfId="0" applyAlignment="1" applyBorder="1" applyFont="1">
      <alignment horizontal="right"/>
    </xf>
    <xf borderId="15" fillId="11" fontId="7" numFmtId="175" xfId="0" applyAlignment="1" applyBorder="1" applyFont="1" applyNumberFormat="1">
      <alignment horizontal="center" vertical="center"/>
    </xf>
    <xf borderId="0" fillId="0" fontId="27" numFmtId="0" xfId="0" applyAlignment="1" applyFont="1">
      <alignment vertical="center"/>
    </xf>
    <xf borderId="15" fillId="11" fontId="28" numFmtId="0" xfId="0" applyAlignment="1" applyBorder="1" applyFont="1">
      <alignment horizontal="center" vertical="center"/>
    </xf>
    <xf borderId="0" fillId="0" fontId="28" numFmtId="0" xfId="0" applyFont="1"/>
    <xf borderId="15" fillId="8" fontId="29" numFmtId="0" xfId="0" applyAlignment="1" applyBorder="1" applyFont="1">
      <alignment horizontal="right" vertical="center"/>
    </xf>
    <xf borderId="45" fillId="0" fontId="28" numFmtId="0" xfId="0" applyAlignment="1" applyBorder="1" applyFont="1">
      <alignment horizontal="right"/>
    </xf>
    <xf borderId="15" fillId="11" fontId="28" numFmtId="0" xfId="0" applyAlignment="1" applyBorder="1" applyFont="1">
      <alignment horizontal="left" vertical="center"/>
    </xf>
    <xf borderId="0" fillId="0" fontId="27" numFmtId="0" xfId="0" applyAlignment="1" applyFont="1">
      <alignment horizontal="left" vertical="center"/>
    </xf>
    <xf borderId="45" fillId="0" fontId="28" numFmtId="176" xfId="0" applyAlignment="1" applyBorder="1" applyFont="1" applyNumberFormat="1">
      <alignment horizontal="right"/>
    </xf>
    <xf borderId="15" fillId="11" fontId="29" numFmtId="10" xfId="0" applyAlignment="1" applyBorder="1" applyFont="1" applyNumberFormat="1">
      <alignment vertical="center"/>
    </xf>
    <xf borderId="15" fillId="8" fontId="20" numFmtId="0" xfId="0" applyAlignment="1" applyBorder="1" applyFont="1">
      <alignment horizontal="right" vertical="center"/>
    </xf>
    <xf borderId="45" fillId="0" fontId="28" numFmtId="164" xfId="0" applyAlignment="1" applyBorder="1" applyFont="1" applyNumberFormat="1">
      <alignment horizontal="right"/>
    </xf>
    <xf borderId="45" fillId="0" fontId="28" numFmtId="177" xfId="0" applyAlignment="1" applyBorder="1" applyFont="1" applyNumberFormat="1">
      <alignment horizontal="right"/>
    </xf>
    <xf borderId="0" fillId="0" fontId="28" numFmtId="0" xfId="0" applyAlignment="1" applyFont="1">
      <alignment vertical="center"/>
    </xf>
    <xf borderId="29" fillId="0" fontId="28" numFmtId="2" xfId="0" applyAlignment="1" applyBorder="1" applyFont="1" applyNumberFormat="1">
      <alignment horizontal="right"/>
    </xf>
    <xf borderId="44" fillId="11" fontId="7" numFmtId="174" xfId="0" applyAlignment="1" applyBorder="1" applyFont="1" applyNumberFormat="1">
      <alignment horizontal="center" vertical="center"/>
    </xf>
    <xf borderId="15" fillId="8" fontId="30" numFmtId="0" xfId="0" applyAlignment="1" applyBorder="1" applyFont="1">
      <alignment horizontal="right" vertical="center"/>
    </xf>
    <xf borderId="0" fillId="0" fontId="28" numFmtId="3" xfId="0" applyAlignment="1" applyFont="1" applyNumberFormat="1">
      <alignment horizontal="right"/>
    </xf>
    <xf borderId="15" fillId="11" fontId="17" numFmtId="0" xfId="0" applyAlignment="1" applyBorder="1" applyFont="1">
      <alignment vertical="center"/>
    </xf>
    <xf borderId="45" fillId="0" fontId="28" numFmtId="178" xfId="0" applyAlignment="1" applyBorder="1" applyFont="1" applyNumberFormat="1">
      <alignment horizontal="right"/>
    </xf>
    <xf borderId="0" fillId="0" fontId="16" numFmtId="0" xfId="0" applyAlignment="1" applyFont="1">
      <alignment vertical="center"/>
    </xf>
    <xf borderId="15" fillId="11" fontId="7" numFmtId="3" xfId="0" applyAlignment="1" applyBorder="1" applyFont="1" applyNumberFormat="1">
      <alignment vertical="center"/>
    </xf>
    <xf borderId="15" fillId="8" fontId="31" numFmtId="0" xfId="0" applyAlignment="1" applyBorder="1" applyFont="1">
      <alignment horizontal="right" readingOrder="0" vertical="center"/>
    </xf>
    <xf borderId="0" fillId="0" fontId="16" numFmtId="0" xfId="0" applyAlignment="1" applyFont="1">
      <alignment readingOrder="0" vertical="center"/>
    </xf>
    <xf borderId="15" fillId="8" fontId="30" numFmtId="0" xfId="0" applyAlignment="1" applyBorder="1" applyFont="1">
      <alignment horizontal="left" vertical="center"/>
    </xf>
    <xf borderId="38" fillId="0" fontId="28" numFmtId="0" xfId="0" applyAlignment="1" applyBorder="1" applyFont="1">
      <alignment horizontal="center" shrinkToFit="0" vertical="center" wrapText="1"/>
    </xf>
    <xf borderId="0" fillId="0" fontId="1" numFmtId="179" xfId="0" applyFont="1" applyNumberFormat="1"/>
    <xf borderId="45" fillId="0" fontId="28" numFmtId="3" xfId="0" applyAlignment="1" applyBorder="1" applyFont="1" applyNumberFormat="1">
      <alignment horizontal="right"/>
    </xf>
    <xf borderId="15" fillId="8" fontId="32" numFmtId="0" xfId="0" applyAlignment="1" applyBorder="1" applyFont="1">
      <alignment horizontal="left" vertical="center"/>
    </xf>
    <xf borderId="38" fillId="0" fontId="4" numFmtId="0" xfId="0" applyBorder="1" applyFont="1"/>
    <xf borderId="15" fillId="8" fontId="20" numFmtId="0" xfId="0" applyAlignment="1" applyBorder="1" applyFont="1">
      <alignment horizontal="left" vertical="center"/>
    </xf>
    <xf borderId="0" fillId="0" fontId="16" numFmtId="0" xfId="0" applyAlignment="1" applyFont="1">
      <alignment horizontal="center" vertical="center"/>
    </xf>
    <xf borderId="45" fillId="0" fontId="16" numFmtId="164" xfId="0" applyAlignment="1" applyBorder="1" applyFont="1" applyNumberFormat="1">
      <alignment horizontal="right"/>
    </xf>
    <xf borderId="0" fillId="0" fontId="28" numFmtId="0" xfId="0" applyAlignment="1" applyFont="1">
      <alignment horizontal="center" vertical="center"/>
    </xf>
    <xf borderId="15" fillId="11" fontId="7" numFmtId="0" xfId="0" applyAlignment="1" applyBorder="1" applyFont="1">
      <alignment horizontal="left" vertical="center"/>
    </xf>
    <xf borderId="15" fillId="11" fontId="7" numFmtId="9" xfId="0" applyAlignment="1" applyBorder="1" applyFont="1" applyNumberFormat="1">
      <alignment horizontal="center" vertical="center"/>
    </xf>
    <xf borderId="15" fillId="11" fontId="7" numFmtId="22" xfId="0" applyAlignment="1" applyBorder="1" applyFont="1" applyNumberFormat="1">
      <alignment horizontal="left" vertical="center"/>
    </xf>
    <xf borderId="15" fillId="8" fontId="33" numFmtId="0" xfId="0" applyAlignment="1" applyBorder="1" applyFont="1">
      <alignment horizontal="right" vertical="center"/>
    </xf>
    <xf borderId="45" fillId="8" fontId="33" numFmtId="164" xfId="0" applyAlignment="1" applyBorder="1" applyFont="1" applyNumberFormat="1">
      <alignment horizontal="right" vertical="center"/>
    </xf>
    <xf borderId="0" fillId="0" fontId="28" numFmtId="0" xfId="0" applyAlignment="1" applyFont="1">
      <alignment horizontal="left" vertical="center"/>
    </xf>
    <xf borderId="15" fillId="11" fontId="7" numFmtId="10" xfId="0" applyAlignment="1" applyBorder="1" applyFont="1" applyNumberFormat="1">
      <alignment horizontal="center" vertical="center"/>
    </xf>
    <xf borderId="15" fillId="11" fontId="7" numFmtId="22" xfId="0" applyAlignment="1" applyBorder="1" applyFont="1" applyNumberFormat="1">
      <alignment vertical="center"/>
    </xf>
    <xf borderId="0" fillId="0" fontId="27" numFmtId="0" xfId="0" applyAlignment="1" applyFont="1">
      <alignment readingOrder="0" vertical="center"/>
    </xf>
    <xf borderId="44" fillId="11" fontId="16" numFmtId="3" xfId="0" applyAlignment="1" applyBorder="1" applyFont="1" applyNumberFormat="1">
      <alignment horizontal="center" vertical="center"/>
    </xf>
    <xf borderId="15" fillId="11" fontId="16" numFmtId="3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45" fillId="0" fontId="28" numFmtId="10" xfId="0" applyAlignment="1" applyBorder="1" applyFont="1" applyNumberFormat="1">
      <alignment horizontal="right"/>
    </xf>
    <xf borderId="38" fillId="0" fontId="28" numFmtId="0" xfId="0" applyAlignment="1" applyBorder="1" applyFont="1">
      <alignment horizontal="center" vertical="center"/>
    </xf>
    <xf borderId="45" fillId="0" fontId="28" numFmtId="9" xfId="0" applyAlignment="1" applyBorder="1" applyFont="1" applyNumberFormat="1">
      <alignment horizontal="right"/>
    </xf>
    <xf borderId="0" fillId="0" fontId="28" numFmtId="3" xfId="0" applyFont="1" applyNumberFormat="1"/>
    <xf borderId="15" fillId="11" fontId="28" numFmtId="10" xfId="0" applyAlignment="1" applyBorder="1" applyFont="1" applyNumberFormat="1">
      <alignment horizontal="right" vertical="center"/>
    </xf>
    <xf borderId="15" fillId="11" fontId="28" numFmtId="0" xfId="0" applyAlignment="1" applyBorder="1" applyFont="1">
      <alignment vertical="center"/>
    </xf>
    <xf borderId="15" fillId="9" fontId="34" numFmtId="0" xfId="0" applyAlignment="1" applyBorder="1" applyFont="1">
      <alignment horizontal="center" vertical="center"/>
    </xf>
    <xf borderId="32" fillId="8" fontId="35" numFmtId="0" xfId="0" applyAlignment="1" applyBorder="1" applyFont="1">
      <alignment horizontal="center" readingOrder="0" vertical="center"/>
    </xf>
    <xf borderId="15" fillId="8" fontId="33" numFmtId="0" xfId="0" applyAlignment="1" applyBorder="1" applyFont="1">
      <alignment horizontal="center" vertical="center"/>
    </xf>
    <xf borderId="15" fillId="11" fontId="7" numFmtId="2" xfId="0" applyAlignment="1" applyBorder="1" applyFont="1" applyNumberFormat="1">
      <alignment vertical="center"/>
    </xf>
    <xf borderId="0" fillId="0" fontId="36" numFmtId="14" xfId="0" applyAlignment="1" applyFont="1" applyNumberFormat="1">
      <alignment vertical="center"/>
    </xf>
    <xf borderId="0" fillId="0" fontId="37" numFmtId="173" xfId="0" applyAlignment="1" applyFont="1" applyNumberFormat="1">
      <alignment vertical="center"/>
    </xf>
    <xf borderId="0" fillId="0" fontId="28" numFmtId="180" xfId="0" applyAlignment="1" applyFont="1" applyNumberFormat="1">
      <alignment vertical="center"/>
    </xf>
    <xf borderId="0" fillId="0" fontId="38" numFmtId="14" xfId="0" applyAlignment="1" applyFont="1" applyNumberFormat="1">
      <alignment vertical="center"/>
    </xf>
    <xf borderId="0" fillId="0" fontId="39" numFmtId="14" xfId="0" applyAlignment="1" applyFont="1" applyNumberFormat="1">
      <alignment vertical="center"/>
    </xf>
    <xf borderId="46" fillId="11" fontId="16" numFmtId="0" xfId="0" applyAlignment="1" applyBorder="1" applyFont="1">
      <alignment horizontal="center" shrinkToFit="0" vertical="center" wrapText="1"/>
    </xf>
    <xf borderId="47" fillId="11" fontId="17" numFmtId="0" xfId="0" applyAlignment="1" applyBorder="1" applyFont="1">
      <alignment horizontal="center" shrinkToFit="0" vertical="center" wrapText="1"/>
    </xf>
    <xf borderId="47" fillId="11" fontId="16" numFmtId="0" xfId="0" applyAlignment="1" applyBorder="1" applyFont="1">
      <alignment horizontal="center" shrinkToFit="0" vertical="center" wrapText="1"/>
    </xf>
    <xf borderId="48" fillId="12" fontId="17" numFmtId="0" xfId="0" applyAlignment="1" applyBorder="1" applyFill="1" applyFont="1">
      <alignment horizontal="center" shrinkToFit="0" vertical="center" wrapText="1"/>
    </xf>
    <xf borderId="49" fillId="12" fontId="17" numFmtId="0" xfId="0" applyAlignment="1" applyBorder="1" applyFont="1">
      <alignment horizontal="center" shrinkToFit="0" vertical="center" wrapText="1"/>
    </xf>
    <xf borderId="50" fillId="12" fontId="17" numFmtId="0" xfId="0" applyAlignment="1" applyBorder="1" applyFont="1">
      <alignment horizontal="center" shrinkToFit="0" vertical="center" wrapText="1"/>
    </xf>
    <xf borderId="47" fillId="12" fontId="38" numFmtId="0" xfId="0" applyAlignment="1" applyBorder="1" applyFont="1">
      <alignment horizontal="center" shrinkToFit="0" vertical="center" wrapText="1"/>
    </xf>
    <xf borderId="15" fillId="11" fontId="39" numFmtId="0" xfId="0" applyAlignment="1" applyBorder="1" applyFont="1">
      <alignment horizontal="center" shrinkToFit="0" vertical="center" wrapText="1"/>
    </xf>
    <xf borderId="15" fillId="11" fontId="7" numFmtId="0" xfId="0" applyAlignment="1" applyBorder="1" applyFont="1">
      <alignment horizontal="center" shrinkToFit="0" vertical="center" wrapText="1"/>
    </xf>
    <xf borderId="15" fillId="11" fontId="17" numFmtId="0" xfId="0" applyAlignment="1" applyBorder="1" applyFont="1">
      <alignment horizontal="center" shrinkToFit="0" vertical="center" wrapText="1"/>
    </xf>
    <xf borderId="44" fillId="0" fontId="38" numFmtId="0" xfId="0" applyAlignment="1" applyBorder="1" applyFont="1">
      <alignment horizontal="center"/>
    </xf>
    <xf borderId="0" fillId="0" fontId="28" numFmtId="1" xfId="0" applyAlignment="1" applyFont="1" applyNumberFormat="1">
      <alignment horizontal="center" vertical="center"/>
    </xf>
    <xf borderId="0" fillId="0" fontId="28" numFmtId="164" xfId="0" applyAlignment="1" applyFont="1" applyNumberFormat="1">
      <alignment horizontal="center" vertical="center"/>
    </xf>
    <xf borderId="0" fillId="0" fontId="28" numFmtId="173" xfId="0" applyAlignment="1" applyFont="1" applyNumberFormat="1">
      <alignment horizontal="center" vertical="center"/>
    </xf>
    <xf borderId="0" fillId="0" fontId="28" numFmtId="181" xfId="0" applyAlignment="1" applyFont="1" applyNumberFormat="1">
      <alignment horizontal="center" vertical="center"/>
    </xf>
    <xf borderId="15" fillId="12" fontId="7" numFmtId="1" xfId="0" applyAlignment="1" applyBorder="1" applyFont="1" applyNumberFormat="1">
      <alignment horizontal="center" vertical="center"/>
    </xf>
    <xf borderId="15" fillId="12" fontId="7" numFmtId="182" xfId="0" applyAlignment="1" applyBorder="1" applyFont="1" applyNumberFormat="1">
      <alignment horizontal="center" vertical="center"/>
    </xf>
    <xf borderId="15" fillId="12" fontId="7" numFmtId="14" xfId="0" applyAlignment="1" applyBorder="1" applyFont="1" applyNumberFormat="1">
      <alignment horizontal="center" vertical="center"/>
    </xf>
    <xf borderId="15" fillId="12" fontId="7" numFmtId="3" xfId="0" applyAlignment="1" applyBorder="1" applyFont="1" applyNumberFormat="1">
      <alignment horizontal="center" vertical="center"/>
    </xf>
    <xf borderId="15" fillId="12" fontId="7" numFmtId="175" xfId="0" applyAlignment="1" applyBorder="1" applyFont="1" applyNumberFormat="1">
      <alignment horizontal="center" vertical="center"/>
    </xf>
    <xf borderId="44" fillId="0" fontId="7" numFmtId="0" xfId="0" applyAlignment="1" applyBorder="1" applyFont="1">
      <alignment horizontal="center"/>
    </xf>
    <xf borderId="15" fillId="11" fontId="7" numFmtId="182" xfId="0" applyAlignment="1" applyBorder="1" applyFont="1" applyNumberFormat="1">
      <alignment horizontal="center" vertical="center"/>
    </xf>
    <xf borderId="0" fillId="0" fontId="28" numFmtId="164" xfId="0" applyAlignment="1" applyFont="1" applyNumberFormat="1">
      <alignment horizontal="center" readingOrder="0" vertical="center"/>
    </xf>
    <xf borderId="0" fillId="0" fontId="28" numFmtId="174" xfId="0" applyAlignment="1" applyFont="1" applyNumberFormat="1">
      <alignment horizontal="center" vertical="center"/>
    </xf>
    <xf borderId="0" fillId="0" fontId="36" numFmtId="0" xfId="0" applyAlignment="1" applyFont="1">
      <alignment vertical="top"/>
    </xf>
    <xf borderId="15" fillId="11" fontId="28" numFmtId="164" xfId="0" applyAlignment="1" applyBorder="1" applyFont="1" applyNumberFormat="1">
      <alignment horizontal="center" vertical="center"/>
    </xf>
    <xf borderId="15" fillId="11" fontId="28" numFmtId="164" xfId="0" applyAlignment="1" applyBorder="1" applyFont="1" applyNumberFormat="1">
      <alignment vertical="center"/>
    </xf>
    <xf borderId="32" fillId="11" fontId="16" numFmtId="164" xfId="0" applyAlignment="1" applyBorder="1" applyFont="1" applyNumberFormat="1">
      <alignment horizontal="center" vertical="center"/>
    </xf>
    <xf borderId="15" fillId="11" fontId="28" numFmtId="3" xfId="0" applyAlignment="1" applyBorder="1" applyFont="1" applyNumberFormat="1">
      <alignment horizontal="left" vertical="center"/>
    </xf>
    <xf borderId="15" fillId="11" fontId="28" numFmtId="0" xfId="0" applyAlignment="1" applyBorder="1" applyFont="1">
      <alignment horizontal="right" vertical="center"/>
    </xf>
    <xf borderId="15" fillId="11" fontId="28" numFmtId="164" xfId="0" applyAlignment="1" applyBorder="1" applyFont="1" applyNumberFormat="1">
      <alignment horizontal="left" vertical="center"/>
    </xf>
    <xf borderId="15" fillId="11" fontId="16" numFmtId="164" xfId="0" applyAlignment="1" applyBorder="1" applyFont="1" applyNumberFormat="1">
      <alignment horizontal="left" vertical="center"/>
    </xf>
    <xf borderId="32" fillId="11" fontId="7" numFmtId="0" xfId="0" applyAlignment="1" applyBorder="1" applyFont="1">
      <alignment horizontal="left" vertical="center"/>
    </xf>
    <xf borderId="15" fillId="11" fontId="7" numFmtId="164" xfId="0" applyAlignment="1" applyBorder="1" applyFont="1" applyNumberFormat="1">
      <alignment horizontal="center" vertical="center"/>
    </xf>
    <xf borderId="15" fillId="11" fontId="17" numFmtId="164" xfId="0" applyAlignment="1" applyBorder="1" applyFont="1" applyNumberFormat="1">
      <alignment horizontal="center" vertical="center"/>
    </xf>
    <xf borderId="0" fillId="0" fontId="7" numFmtId="183" xfId="0" applyFont="1" applyNumberFormat="1"/>
    <xf borderId="0" fillId="0" fontId="7" numFmtId="14" xfId="0" applyFont="1" applyNumberFormat="1"/>
    <xf borderId="0" fillId="0" fontId="21" numFmtId="0" xfId="0" applyFont="1"/>
    <xf borderId="0" fillId="0" fontId="17" numFmtId="164" xfId="0" applyAlignment="1" applyFont="1" applyNumberFormat="1">
      <alignment horizontal="center"/>
    </xf>
    <xf borderId="0" fillId="0" fontId="21" numFmtId="183" xfId="0" applyFont="1" applyNumberFormat="1"/>
    <xf borderId="24" fillId="13" fontId="7" numFmtId="0" xfId="0" applyAlignment="1" applyBorder="1" applyFill="1" applyFont="1">
      <alignment textRotation="135"/>
    </xf>
    <xf borderId="44" fillId="13" fontId="7" numFmtId="0" xfId="0" applyAlignment="1" applyBorder="1" applyFont="1">
      <alignment textRotation="135"/>
    </xf>
    <xf borderId="35" fillId="13" fontId="7" numFmtId="0" xfId="0" applyAlignment="1" applyBorder="1" applyFont="1">
      <alignment horizontal="center" textRotation="135"/>
    </xf>
    <xf borderId="35" fillId="13" fontId="7" numFmtId="0" xfId="0" applyAlignment="1" applyBorder="1" applyFont="1">
      <alignment horizontal="center" shrinkToFit="0" textRotation="135" wrapText="1"/>
    </xf>
    <xf borderId="22" fillId="13" fontId="7" numFmtId="0" xfId="0" applyBorder="1" applyFont="1"/>
    <xf borderId="20" fillId="13" fontId="7" numFmtId="0" xfId="0" applyAlignment="1" applyBorder="1" applyFont="1">
      <alignment horizontal="center"/>
    </xf>
    <xf borderId="20" fillId="13" fontId="7" numFmtId="0" xfId="0" applyBorder="1" applyFont="1"/>
    <xf borderId="44" fillId="13" fontId="7" numFmtId="0" xfId="0" applyAlignment="1" applyBorder="1" applyFont="1">
      <alignment horizontal="center" shrinkToFit="0" textRotation="135" wrapText="1"/>
    </xf>
    <xf borderId="0" fillId="0" fontId="40" numFmtId="0" xfId="0" applyFont="1"/>
    <xf borderId="51" fillId="14" fontId="40" numFmtId="0" xfId="0" applyBorder="1" applyFill="1" applyFont="1"/>
    <xf borderId="51" fillId="14" fontId="40" numFmtId="0" xfId="0" applyAlignment="1" applyBorder="1" applyFont="1">
      <alignment horizontal="center"/>
    </xf>
    <xf borderId="0" fillId="0" fontId="41" numFmtId="0" xfId="0" applyFont="1"/>
    <xf borderId="0" fillId="0" fontId="41" numFmtId="0" xfId="0" applyAlignment="1" applyFont="1">
      <alignment horizontal="center"/>
    </xf>
    <xf borderId="35" fillId="14" fontId="41" numFmtId="0" xfId="0" applyBorder="1" applyFont="1"/>
    <xf borderId="35" fillId="14" fontId="41" numFmtId="0" xfId="0" applyAlignment="1" applyBorder="1" applyFont="1">
      <alignment horizontal="center"/>
    </xf>
    <xf borderId="44" fillId="0" fontId="41" numFmtId="0" xfId="0" applyBorder="1" applyFont="1"/>
    <xf borderId="44" fillId="0" fontId="41" numFmtId="9" xfId="0" applyBorder="1" applyFont="1" applyNumberFormat="1"/>
    <xf borderId="44" fillId="14" fontId="41" numFmtId="0" xfId="0" applyBorder="1" applyFont="1"/>
    <xf borderId="15" fillId="15" fontId="41" numFmtId="0" xfId="0" applyAlignment="1" applyBorder="1" applyFill="1" applyFont="1">
      <alignment horizontal="center"/>
    </xf>
    <xf borderId="15" fillId="15" fontId="41" numFmtId="169" xfId="0" applyAlignment="1" applyBorder="1" applyFont="1" applyNumberFormat="1">
      <alignment horizontal="center" vertical="center"/>
    </xf>
    <xf borderId="52" fillId="0" fontId="1" numFmtId="0" xfId="0" applyAlignment="1" applyBorder="1" applyFont="1">
      <alignment horizontal="center" vertical="center"/>
    </xf>
    <xf borderId="53" fillId="0" fontId="4" numFmtId="0" xfId="0" applyBorder="1" applyFont="1"/>
    <xf borderId="54" fillId="14" fontId="40" numFmtId="0" xfId="0" applyAlignment="1" applyBorder="1" applyFont="1">
      <alignment horizontal="center"/>
    </xf>
    <xf borderId="55" fillId="0" fontId="4" numFmtId="0" xfId="0" applyBorder="1" applyFont="1"/>
    <xf borderId="56" fillId="16" fontId="1" numFmtId="0" xfId="0" applyAlignment="1" applyBorder="1" applyFill="1" applyFont="1">
      <alignment horizontal="center" vertical="center"/>
    </xf>
    <xf borderId="57" fillId="16" fontId="1" numFmtId="0" xfId="0" applyAlignment="1" applyBorder="1" applyFont="1">
      <alignment horizontal="center" vertical="center"/>
    </xf>
    <xf borderId="58" fillId="14" fontId="41" numFmtId="164" xfId="0" applyBorder="1" applyFont="1" applyNumberFormat="1"/>
    <xf borderId="44" fillId="14" fontId="41" numFmtId="164" xfId="0" applyBorder="1" applyFont="1" applyNumberFormat="1"/>
    <xf borderId="44" fillId="14" fontId="41" numFmtId="2" xfId="0" applyAlignment="1" applyBorder="1" applyFont="1" applyNumberFormat="1">
      <alignment horizontal="center"/>
    </xf>
    <xf borderId="59" fillId="14" fontId="41" numFmtId="2" xfId="0" applyAlignment="1" applyBorder="1" applyFont="1" applyNumberFormat="1">
      <alignment horizontal="center"/>
    </xf>
    <xf borderId="51" fillId="14" fontId="40" numFmtId="0" xfId="0" applyAlignment="1" applyBorder="1" applyFont="1">
      <alignment horizontal="center" vertical="center"/>
    </xf>
    <xf borderId="15" fillId="15" fontId="41" numFmtId="164" xfId="0" applyAlignment="1" applyBorder="1" applyFont="1" applyNumberFormat="1">
      <alignment horizontal="center"/>
    </xf>
    <xf borderId="15" fillId="17" fontId="41" numFmtId="0" xfId="0" applyAlignment="1" applyBorder="1" applyFill="1" applyFont="1">
      <alignment horizontal="center"/>
    </xf>
    <xf borderId="35" fillId="14" fontId="41" numFmtId="182" xfId="0" applyBorder="1" applyFont="1" applyNumberFormat="1"/>
    <xf borderId="15" fillId="17" fontId="41" numFmtId="0" xfId="0" applyBorder="1" applyFont="1"/>
    <xf borderId="0" fillId="0" fontId="42" numFmtId="0" xfId="0" applyFont="1"/>
    <xf borderId="0" fillId="0" fontId="41" numFmtId="2" xfId="0" applyFont="1" applyNumberFormat="1"/>
    <xf borderId="45" fillId="0" fontId="7" numFmtId="3" xfId="0" applyAlignment="1" applyBorder="1" applyFont="1" applyNumberFormat="1">
      <alignment horizontal="right"/>
    </xf>
    <xf borderId="15" fillId="15" fontId="41" numFmtId="4" xfId="0" applyAlignment="1" applyBorder="1" applyFont="1" applyNumberFormat="1">
      <alignment horizontal="center"/>
    </xf>
    <xf borderId="15" fillId="15" fontId="41" numFmtId="10" xfId="0" applyAlignment="1" applyBorder="1" applyFont="1" applyNumberFormat="1">
      <alignment horizontal="center"/>
    </xf>
    <xf borderId="0" fillId="0" fontId="41" numFmtId="164" xfId="0" applyFont="1" applyNumberFormat="1"/>
    <xf borderId="0" fillId="0" fontId="40" numFmtId="3" xfId="0" applyFont="1" applyNumberFormat="1"/>
    <xf borderId="0" fillId="0" fontId="1" numFmtId="164" xfId="0" applyFont="1" applyNumberFormat="1"/>
    <xf borderId="15" fillId="14" fontId="41" numFmtId="0" xfId="0" applyBorder="1" applyFont="1"/>
    <xf borderId="0" fillId="0" fontId="41" numFmtId="181" xfId="0" applyFont="1" applyNumberFormat="1"/>
    <xf borderId="0" fillId="0" fontId="41" numFmtId="168" xfId="0" applyFont="1" applyNumberFormat="1"/>
    <xf borderId="32" fillId="6" fontId="2" numFmtId="0" xfId="0" applyAlignment="1" applyBorder="1" applyFont="1">
      <alignment horizontal="center"/>
    </xf>
    <xf borderId="0" fillId="0" fontId="1" numFmtId="3" xfId="0" applyFont="1" applyNumberFormat="1"/>
    <xf borderId="15" fillId="18" fontId="43" numFmtId="0" xfId="0" applyBorder="1" applyFill="1" applyFont="1"/>
    <xf borderId="15" fillId="18" fontId="30" numFmtId="0" xfId="0" applyBorder="1" applyFont="1"/>
    <xf borderId="15" fillId="19" fontId="1" numFmtId="0" xfId="0" applyAlignment="1" applyBorder="1" applyFill="1" applyFont="1">
      <alignment horizontal="center"/>
    </xf>
    <xf borderId="60" fillId="0" fontId="1" numFmtId="0" xfId="0" applyBorder="1" applyFont="1"/>
    <xf borderId="61" fillId="0" fontId="1" numFmtId="0" xfId="0" applyBorder="1" applyFont="1"/>
    <xf borderId="62" fillId="6" fontId="1" numFmtId="0" xfId="0" applyBorder="1" applyFont="1"/>
    <xf borderId="63" fillId="0" fontId="1" numFmtId="0" xfId="0" applyBorder="1" applyFont="1"/>
    <xf borderId="64" fillId="0" fontId="1" numFmtId="9" xfId="0" applyBorder="1" applyFont="1" applyNumberFormat="1"/>
    <xf borderId="64" fillId="0" fontId="1" numFmtId="0" xfId="0" applyBorder="1" applyFont="1"/>
    <xf borderId="65" fillId="6" fontId="1" numFmtId="0" xfId="0" applyBorder="1" applyFont="1"/>
    <xf borderId="66" fillId="0" fontId="1" numFmtId="0" xfId="0" applyBorder="1" applyFont="1"/>
    <xf borderId="67" fillId="0" fontId="1" numFmtId="0" xfId="0" applyBorder="1" applyFont="1"/>
    <xf borderId="0" fillId="0" fontId="1" numFmtId="9" xfId="0" applyFont="1" applyNumberFormat="1"/>
    <xf borderId="0" fillId="0" fontId="1" numFmtId="0" xfId="0" applyAlignment="1" applyFont="1">
      <alignment horizontal="right" vertical="center"/>
    </xf>
    <xf borderId="68" fillId="6" fontId="1" numFmtId="0" xfId="0" applyBorder="1" applyFont="1"/>
    <xf borderId="61" fillId="0" fontId="1" numFmtId="9" xfId="0" applyBorder="1" applyFont="1" applyNumberFormat="1"/>
    <xf borderId="61" fillId="0" fontId="1" numFmtId="0" xfId="0" applyAlignment="1" applyBorder="1" applyFont="1">
      <alignment horizontal="right" vertical="center"/>
    </xf>
    <xf borderId="64" fillId="0" fontId="1" numFmtId="0" xfId="0" applyAlignment="1" applyBorder="1" applyFont="1">
      <alignment horizontal="right" vertical="center"/>
    </xf>
    <xf borderId="9" fillId="0" fontId="2" numFmtId="0" xfId="0" applyAlignment="1" applyBorder="1" applyFont="1">
      <alignment horizontal="center" vertical="center"/>
    </xf>
    <xf borderId="11" fillId="0" fontId="4" numFmtId="0" xfId="0" applyBorder="1" applyFont="1"/>
    <xf borderId="0" fillId="0" fontId="2" numFmtId="0" xfId="0" applyAlignment="1" applyFont="1">
      <alignment horizontal="center" vertical="center"/>
    </xf>
    <xf borderId="44" fillId="0" fontId="2" numFmtId="0" xfId="0" applyAlignment="1" applyBorder="1" applyFont="1">
      <alignment horizontal="center" vertical="center"/>
    </xf>
    <xf borderId="44" fillId="0" fontId="1" numFmtId="0" xfId="0" applyBorder="1" applyFont="1"/>
    <xf quotePrefix="1" borderId="44" fillId="0" fontId="1" numFmtId="14" xfId="0" applyAlignment="1" applyBorder="1" applyFont="1" applyNumberForma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4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69" fillId="20" fontId="1" numFmtId="0" xfId="0" applyBorder="1" applyFill="1" applyFont="1"/>
    <xf borderId="70" fillId="20" fontId="1" numFmtId="0" xfId="0" applyBorder="1" applyFont="1"/>
    <xf borderId="69" fillId="3" fontId="1" numFmtId="0" xfId="0" applyBorder="1" applyFont="1"/>
    <xf borderId="70" fillId="3" fontId="1" numFmtId="0" xfId="0" applyBorder="1" applyFont="1"/>
    <xf borderId="71" fillId="20" fontId="1" numFmtId="164" xfId="0" applyBorder="1" applyFont="1" applyNumberFormat="1"/>
    <xf borderId="15" fillId="20" fontId="1" numFmtId="164" xfId="0" applyBorder="1" applyFont="1" applyNumberFormat="1"/>
    <xf borderId="72" fillId="20" fontId="1" numFmtId="164" xfId="0" applyBorder="1" applyFont="1" applyNumberFormat="1"/>
    <xf borderId="73" fillId="20" fontId="1" numFmtId="164" xfId="0" applyBorder="1" applyFont="1" applyNumberFormat="1"/>
    <xf borderId="71" fillId="20" fontId="1" numFmtId="10" xfId="0" applyAlignment="1" applyBorder="1" applyFont="1" applyNumberFormat="1">
      <alignment horizontal="center" vertical="center"/>
    </xf>
    <xf borderId="15" fillId="20" fontId="1" numFmtId="10" xfId="0" applyAlignment="1" applyBorder="1" applyFont="1" applyNumberFormat="1">
      <alignment horizontal="center" vertical="center"/>
    </xf>
    <xf borderId="71" fillId="20" fontId="1" numFmtId="10" xfId="0" applyAlignment="1" applyBorder="1" applyFont="1" applyNumberFormat="1">
      <alignment horizontal="right" vertical="center"/>
    </xf>
    <xf borderId="15" fillId="20" fontId="1" numFmtId="10" xfId="0" applyAlignment="1" applyBorder="1" applyFont="1" applyNumberFormat="1">
      <alignment horizontal="right" vertical="center"/>
    </xf>
    <xf borderId="72" fillId="20" fontId="1" numFmtId="10" xfId="0" applyAlignment="1" applyBorder="1" applyFont="1" applyNumberFormat="1">
      <alignment horizontal="center" vertical="center"/>
    </xf>
    <xf borderId="73" fillId="20" fontId="1" numFmtId="10" xfId="0" applyAlignment="1" applyBorder="1" applyFont="1" applyNumberFormat="1">
      <alignment horizontal="center" vertical="center"/>
    </xf>
    <xf borderId="72" fillId="20" fontId="1" numFmtId="10" xfId="0" applyAlignment="1" applyBorder="1" applyFont="1" applyNumberFormat="1">
      <alignment horizontal="right" vertical="center"/>
    </xf>
    <xf borderId="73" fillId="20" fontId="1" numFmtId="10" xfId="0" applyAlignment="1" applyBorder="1" applyFont="1" applyNumberFormat="1">
      <alignment horizontal="right" vertical="center"/>
    </xf>
    <xf borderId="71" fillId="20" fontId="1" numFmtId="164" xfId="0" applyAlignment="1" applyBorder="1" applyFont="1" applyNumberFormat="1">
      <alignment horizontal="center" vertical="center"/>
    </xf>
    <xf borderId="15" fillId="20" fontId="1" numFmtId="168" xfId="0" applyAlignment="1" applyBorder="1" applyFont="1" applyNumberFormat="1">
      <alignment horizontal="center" vertical="center"/>
    </xf>
    <xf borderId="71" fillId="20" fontId="1" numFmtId="168" xfId="0" applyAlignment="1" applyBorder="1" applyFont="1" applyNumberFormat="1">
      <alignment horizontal="center" vertical="center"/>
    </xf>
    <xf borderId="72" fillId="20" fontId="1" numFmtId="168" xfId="0" applyAlignment="1" applyBorder="1" applyFont="1" applyNumberFormat="1">
      <alignment horizontal="center" vertical="center"/>
    </xf>
    <xf borderId="73" fillId="20" fontId="1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10">
    <dxf>
      <font>
        <color theme="0"/>
      </font>
      <fill>
        <patternFill patternType="solid">
          <fgColor rgb="FFC00000"/>
          <bgColor rgb="FFC00000"/>
        </patternFill>
      </fill>
      <border/>
    </dxf>
    <dxf>
      <font>
        <color rgb="FFFFFFFF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993366"/>
          <bgColor rgb="FF993366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none"/>
      </fill>
      <border/>
    </dxf>
    <dxf>
      <font>
        <color theme="0"/>
      </font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FFFF99"/>
          <bgColor rgb="FFFFFF9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solid">
          <fgColor rgb="FF99CCFF"/>
          <bgColor rgb="FF99CC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6</xdr:row>
      <xdr:rowOff>19050</xdr:rowOff>
    </xdr:from>
    <xdr:ext cx="114300" cy="114300"/>
    <xdr:sp>
      <xdr:nvSpPr>
        <xdr:cNvPr id="3" name="Shape 3"/>
        <xdr:cNvSpPr/>
      </xdr:nvSpPr>
      <xdr:spPr>
        <a:xfrm>
          <a:off x="5293613" y="3722850"/>
          <a:ext cx="104775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19050</xdr:colOff>
      <xdr:row>6</xdr:row>
      <xdr:rowOff>9525</xdr:rowOff>
    </xdr:from>
    <xdr:ext cx="114300" cy="114300"/>
    <xdr:sp>
      <xdr:nvSpPr>
        <xdr:cNvPr id="4" name="Shape 4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53</xdr:row>
      <xdr:rowOff>19050</xdr:rowOff>
    </xdr:from>
    <xdr:ext cx="123825" cy="114300"/>
    <xdr:sp>
      <xdr:nvSpPr>
        <xdr:cNvPr id="4" name="Shape 4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53</xdr:row>
      <xdr:rowOff>19050</xdr:rowOff>
    </xdr:from>
    <xdr:ext cx="123825" cy="114300"/>
    <xdr:sp>
      <xdr:nvSpPr>
        <xdr:cNvPr id="4" name="Shape 4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466725</xdr:colOff>
      <xdr:row>53</xdr:row>
      <xdr:rowOff>19050</xdr:rowOff>
    </xdr:from>
    <xdr:ext cx="123825" cy="114300"/>
    <xdr:sp>
      <xdr:nvSpPr>
        <xdr:cNvPr id="5" name="Shape 5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638175</xdr:colOff>
      <xdr:row>54</xdr:row>
      <xdr:rowOff>19050</xdr:rowOff>
    </xdr:from>
    <xdr:ext cx="133350" cy="114300"/>
    <xdr:sp>
      <xdr:nvSpPr>
        <xdr:cNvPr id="6" name="Shape 6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619125</xdr:colOff>
      <xdr:row>54</xdr:row>
      <xdr:rowOff>19050</xdr:rowOff>
    </xdr:from>
    <xdr:ext cx="123825" cy="114300"/>
    <xdr:sp>
      <xdr:nvSpPr>
        <xdr:cNvPr id="4" name="Shape 4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28575</xdr:colOff>
      <xdr:row>55</xdr:row>
      <xdr:rowOff>47625</xdr:rowOff>
    </xdr:from>
    <xdr:ext cx="123825" cy="114300"/>
    <xdr:sp>
      <xdr:nvSpPr>
        <xdr:cNvPr id="4" name="Shape 4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28575</xdr:colOff>
      <xdr:row>56</xdr:row>
      <xdr:rowOff>38100</xdr:rowOff>
    </xdr:from>
    <xdr:ext cx="123825" cy="114300"/>
    <xdr:sp>
      <xdr:nvSpPr>
        <xdr:cNvPr id="4" name="Shape 4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28575</xdr:colOff>
      <xdr:row>57</xdr:row>
      <xdr:rowOff>28575</xdr:rowOff>
    </xdr:from>
    <xdr:ext cx="123825" cy="114300"/>
    <xdr:sp>
      <xdr:nvSpPr>
        <xdr:cNvPr id="4" name="Shape 4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161925</xdr:colOff>
      <xdr:row>60</xdr:row>
      <xdr:rowOff>28575</xdr:rowOff>
    </xdr:from>
    <xdr:ext cx="123825" cy="114300"/>
    <xdr:sp>
      <xdr:nvSpPr>
        <xdr:cNvPr id="4" name="Shape 4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76200</xdr:colOff>
      <xdr:row>60</xdr:row>
      <xdr:rowOff>19050</xdr:rowOff>
    </xdr:from>
    <xdr:ext cx="123825" cy="114300"/>
    <xdr:sp>
      <xdr:nvSpPr>
        <xdr:cNvPr id="4" name="Shape 4"/>
        <xdr:cNvSpPr/>
      </xdr:nvSpPr>
      <xdr:spPr>
        <a:xfrm>
          <a:off x="5288850" y="3722850"/>
          <a:ext cx="114300" cy="114300"/>
        </a:xfrm>
        <a:prstGeom prst="rect">
          <a:avLst/>
        </a:prstGeom>
        <a:solidFill>
          <a:srgbClr val="C0C0C0">
            <a:alpha val="29803"/>
          </a:srgbClr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0</xdr:row>
      <xdr:rowOff>47625</xdr:rowOff>
    </xdr:from>
    <xdr:ext cx="441007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1133475</xdr:colOff>
      <xdr:row>0</xdr:row>
      <xdr:rowOff>57150</xdr:rowOff>
    </xdr:from>
    <xdr:ext cx="228600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1219200</xdr:colOff>
      <xdr:row>0</xdr:row>
      <xdr:rowOff>0</xdr:rowOff>
    </xdr:from>
    <xdr:ext cx="1543050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57"/>
    <col customWidth="1" min="2" max="2" width="10.29"/>
    <col customWidth="1" min="3" max="3" width="11.43"/>
    <col customWidth="1" min="4" max="4" width="4.71"/>
    <col customWidth="1" min="5" max="5" width="6.43"/>
    <col customWidth="1" min="6" max="6" width="14.57"/>
    <col customWidth="1" min="7" max="7" width="10.0"/>
    <col customWidth="1" min="8" max="8" width="56.57"/>
    <col customWidth="1" min="9" max="9" width="9.43"/>
    <col customWidth="1" min="10" max="10" width="8.71"/>
    <col customWidth="1" min="11" max="11" width="10.71"/>
    <col customWidth="1" min="12" max="13" width="7.57"/>
    <col customWidth="1" min="14" max="14" width="4.0"/>
    <col customWidth="1" min="15" max="15" width="9.71"/>
    <col customWidth="1" min="1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1</v>
      </c>
      <c r="C4" s="8"/>
      <c r="D4" s="8"/>
      <c r="E4" s="8"/>
      <c r="F4" s="9"/>
      <c r="G4" s="9"/>
      <c r="H4" s="10" t="s">
        <v>2</v>
      </c>
      <c r="I4" s="9"/>
      <c r="J4" s="9"/>
      <c r="K4" s="11" t="str">
        <f>INPUT!#REF!</f>
        <v>#ERROR!</v>
      </c>
      <c r="L4" s="9"/>
      <c r="M4" s="12"/>
      <c r="N4" s="12"/>
      <c r="O4" s="1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 t="s">
        <v>3</v>
      </c>
      <c r="C5" s="9"/>
      <c r="D5" s="11" t="str">
        <f>INPUT!#REF!</f>
        <v>#ERROR!</v>
      </c>
      <c r="E5" s="9"/>
      <c r="F5" s="9"/>
      <c r="G5" s="9"/>
      <c r="H5" s="9"/>
      <c r="I5" s="9"/>
      <c r="J5" s="9"/>
      <c r="K5" s="9"/>
      <c r="L5" s="9"/>
      <c r="M5" s="12"/>
      <c r="N5" s="1"/>
      <c r="O5" s="1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6" t="s">
        <v>4</v>
      </c>
      <c r="C6" s="17"/>
      <c r="D6" s="18" t="s">
        <v>5</v>
      </c>
      <c r="E6" s="19"/>
      <c r="F6" s="19"/>
      <c r="G6" s="19"/>
      <c r="H6" s="19"/>
      <c r="I6" s="19"/>
      <c r="J6" s="19"/>
      <c r="K6" s="19" t="s">
        <v>6</v>
      </c>
      <c r="L6" s="19"/>
      <c r="M6" s="20"/>
      <c r="N6" s="21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" t="s">
        <v>7</v>
      </c>
      <c r="C7" s="19"/>
      <c r="D7" s="19"/>
      <c r="E7" s="24" t="s">
        <v>8</v>
      </c>
      <c r="F7" s="24" t="s">
        <v>9</v>
      </c>
      <c r="G7" s="19"/>
      <c r="H7" s="25" t="str">
        <f>INPUT!#REF!</f>
        <v>#ERROR!</v>
      </c>
      <c r="I7" s="24" t="s">
        <v>10</v>
      </c>
      <c r="J7" s="19"/>
      <c r="K7" s="19"/>
      <c r="L7" s="19"/>
      <c r="M7" s="20"/>
      <c r="N7" s="20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6"/>
      <c r="C8" s="2"/>
      <c r="D8" s="27"/>
      <c r="E8" s="15"/>
      <c r="F8" s="28"/>
      <c r="G8" s="2"/>
      <c r="H8" s="29"/>
      <c r="I8" s="2"/>
      <c r="J8" s="2"/>
      <c r="K8" s="28"/>
      <c r="L8" s="30"/>
      <c r="M8" s="31"/>
      <c r="N8" s="32"/>
      <c r="O8" s="1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7"/>
      <c r="C9" s="2"/>
      <c r="D9" s="27"/>
      <c r="E9" s="15"/>
      <c r="F9" s="28"/>
      <c r="G9" s="2"/>
      <c r="H9" s="2"/>
      <c r="I9" s="2"/>
      <c r="J9" s="2"/>
      <c r="K9" s="2"/>
      <c r="L9" s="2"/>
      <c r="M9" s="31"/>
      <c r="N9" s="28"/>
      <c r="O9" s="15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6"/>
      <c r="C10" s="2"/>
      <c r="D10" s="27"/>
      <c r="E10" s="33"/>
      <c r="F10" s="28"/>
      <c r="G10" s="2"/>
      <c r="H10" s="2"/>
      <c r="I10" s="2"/>
      <c r="J10" s="2"/>
      <c r="K10" s="2"/>
      <c r="L10" s="2"/>
      <c r="M10" s="31"/>
      <c r="N10" s="28"/>
      <c r="O10" s="1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4"/>
      <c r="C11" s="9"/>
      <c r="D11" s="34"/>
      <c r="E11" s="35"/>
      <c r="F11" s="10"/>
      <c r="G11" s="9"/>
      <c r="H11" s="10"/>
      <c r="I11" s="9"/>
      <c r="J11" s="9"/>
      <c r="K11" s="9"/>
      <c r="L11" s="30"/>
      <c r="M11" s="36"/>
      <c r="N11" s="12"/>
      <c r="O11" s="1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7" t="s">
        <v>11</v>
      </c>
      <c r="C12" s="38"/>
      <c r="D12" s="38"/>
      <c r="E12" s="39"/>
      <c r="F12" s="40" t="s">
        <v>12</v>
      </c>
      <c r="G12" s="41"/>
      <c r="H12" s="41"/>
      <c r="I12" s="39"/>
      <c r="J12" s="37" t="s">
        <v>13</v>
      </c>
      <c r="K12" s="38"/>
      <c r="L12" s="38"/>
      <c r="M12" s="42"/>
      <c r="N12" s="42"/>
      <c r="O12" s="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43"/>
      <c r="C13" s="44"/>
      <c r="D13" s="44"/>
      <c r="E13" s="44"/>
      <c r="F13" s="45"/>
      <c r="G13" s="44"/>
      <c r="H13" s="44"/>
      <c r="I13" s="46"/>
      <c r="J13" s="47" t="s">
        <v>14</v>
      </c>
      <c r="K13" s="44"/>
      <c r="L13" s="44"/>
      <c r="M13" s="48"/>
      <c r="N13" s="48"/>
      <c r="O13" s="4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50" t="s">
        <v>15</v>
      </c>
      <c r="C14" s="2"/>
      <c r="D14" s="2"/>
      <c r="E14" s="2"/>
      <c r="F14" s="51" t="s">
        <v>16</v>
      </c>
      <c r="G14" s="2"/>
      <c r="H14" s="2"/>
      <c r="I14" s="33"/>
      <c r="J14" s="52" t="s">
        <v>17</v>
      </c>
      <c r="K14" s="2"/>
      <c r="L14" s="2"/>
      <c r="M14" s="1"/>
      <c r="N14" s="1"/>
      <c r="O14" s="1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53" t="s">
        <v>18</v>
      </c>
      <c r="C15" s="2"/>
      <c r="D15" s="2"/>
      <c r="E15" s="2"/>
      <c r="F15" s="52" t="s">
        <v>19</v>
      </c>
      <c r="G15" s="2"/>
      <c r="H15" s="2"/>
      <c r="I15" s="33"/>
      <c r="J15" s="52" t="s">
        <v>20</v>
      </c>
      <c r="K15" s="2"/>
      <c r="L15" s="2"/>
      <c r="M15" s="1"/>
      <c r="N15" s="1"/>
      <c r="O15" s="1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53" t="s">
        <v>21</v>
      </c>
      <c r="C16" s="2"/>
      <c r="D16" s="2"/>
      <c r="E16" s="2"/>
      <c r="F16" s="52" t="s">
        <v>22</v>
      </c>
      <c r="G16" s="2"/>
      <c r="H16" s="2"/>
      <c r="I16" s="33"/>
      <c r="J16" s="52" t="s">
        <v>23</v>
      </c>
      <c r="K16" s="2"/>
      <c r="L16" s="2"/>
      <c r="M16" s="1"/>
      <c r="N16" s="1"/>
      <c r="O16" s="1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53" t="s">
        <v>24</v>
      </c>
      <c r="C17" s="2"/>
      <c r="D17" s="2"/>
      <c r="E17" s="2"/>
      <c r="F17" s="52" t="s">
        <v>25</v>
      </c>
      <c r="G17" s="2"/>
      <c r="H17" s="2"/>
      <c r="I17" s="33"/>
      <c r="J17" s="52" t="s">
        <v>26</v>
      </c>
      <c r="K17" s="2"/>
      <c r="L17" s="2"/>
      <c r="M17" s="1"/>
      <c r="N17" s="1"/>
      <c r="O17" s="1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53" t="s">
        <v>27</v>
      </c>
      <c r="C18" s="2"/>
      <c r="D18" s="2"/>
      <c r="E18" s="2"/>
      <c r="F18" s="52" t="s">
        <v>28</v>
      </c>
      <c r="G18" s="2"/>
      <c r="H18" s="2"/>
      <c r="I18" s="33"/>
      <c r="J18" s="52" t="s">
        <v>29</v>
      </c>
      <c r="K18" s="2"/>
      <c r="L18" s="2"/>
      <c r="M18" s="1"/>
      <c r="N18" s="1"/>
      <c r="O18" s="1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53" t="s">
        <v>30</v>
      </c>
      <c r="C19" s="2"/>
      <c r="D19" s="2"/>
      <c r="E19" s="2"/>
      <c r="F19" s="52" t="s">
        <v>31</v>
      </c>
      <c r="G19" s="2"/>
      <c r="H19" s="2"/>
      <c r="I19" s="33"/>
      <c r="J19" s="52" t="s">
        <v>32</v>
      </c>
      <c r="K19" s="2"/>
      <c r="L19" s="2"/>
      <c r="M19" s="1"/>
      <c r="N19" s="1"/>
      <c r="O19" s="1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3" t="s">
        <v>33</v>
      </c>
      <c r="C20" s="54"/>
      <c r="D20" s="55"/>
      <c r="E20" s="2"/>
      <c r="F20" s="52" t="s">
        <v>34</v>
      </c>
      <c r="G20" s="2"/>
      <c r="H20" s="2"/>
      <c r="I20" s="33"/>
      <c r="J20" s="28"/>
      <c r="K20" s="2"/>
      <c r="L20" s="2"/>
      <c r="M20" s="1"/>
      <c r="N20" s="1"/>
      <c r="O20" s="1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3" t="s">
        <v>35</v>
      </c>
      <c r="C21" s="2"/>
      <c r="D21" s="2"/>
      <c r="E21" s="2"/>
      <c r="F21" s="52" t="s">
        <v>36</v>
      </c>
      <c r="G21" s="2"/>
      <c r="H21" s="2"/>
      <c r="I21" s="33"/>
      <c r="J21" s="56" t="s">
        <v>37</v>
      </c>
      <c r="K21" s="2"/>
      <c r="L21" s="2"/>
      <c r="M21" s="1"/>
      <c r="N21" s="1"/>
      <c r="O21" s="1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3" t="s">
        <v>38</v>
      </c>
      <c r="C22" s="2"/>
      <c r="D22" s="2"/>
      <c r="E22" s="2"/>
      <c r="F22" s="52" t="s">
        <v>39</v>
      </c>
      <c r="G22" s="2"/>
      <c r="H22" s="2"/>
      <c r="I22" s="33"/>
      <c r="J22" s="57" t="s">
        <v>40</v>
      </c>
      <c r="K22" s="2"/>
      <c r="L22" s="2"/>
      <c r="M22" s="1"/>
      <c r="N22" s="1"/>
      <c r="O22" s="1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3" t="s">
        <v>41</v>
      </c>
      <c r="C23" s="2"/>
      <c r="D23" s="2"/>
      <c r="E23" s="2"/>
      <c r="F23" s="58" t="s">
        <v>42</v>
      </c>
      <c r="G23" s="2"/>
      <c r="H23" s="2"/>
      <c r="I23" s="33"/>
      <c r="J23" s="59" t="s">
        <v>43</v>
      </c>
      <c r="K23" s="2"/>
      <c r="L23" s="2"/>
      <c r="M23" s="1"/>
      <c r="N23" s="1"/>
      <c r="O23" s="1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3"/>
      <c r="C24" s="2"/>
      <c r="D24" s="2"/>
      <c r="E24" s="2"/>
      <c r="F24" s="58"/>
      <c r="G24" s="2"/>
      <c r="H24" s="2"/>
      <c r="I24" s="33"/>
      <c r="J24" s="59"/>
      <c r="K24" s="2"/>
      <c r="L24" s="2"/>
      <c r="M24" s="1"/>
      <c r="N24" s="1"/>
      <c r="O24" s="1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9" t="s">
        <v>44</v>
      </c>
      <c r="D25" s="2"/>
      <c r="E25" s="2"/>
      <c r="F25" s="58"/>
      <c r="G25" s="2"/>
      <c r="H25" s="2"/>
      <c r="I25" s="33"/>
      <c r="J25" s="59" t="s">
        <v>45</v>
      </c>
      <c r="K25" s="2"/>
      <c r="L25" s="2"/>
      <c r="M25" s="1"/>
      <c r="N25" s="1"/>
      <c r="O25" s="1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0"/>
      <c r="C26" s="61" t="s">
        <v>46</v>
      </c>
      <c r="D26" s="2"/>
      <c r="E26" s="62" t="s">
        <v>47</v>
      </c>
      <c r="F26" s="58"/>
      <c r="G26" s="2"/>
      <c r="H26" s="2"/>
      <c r="I26" s="33"/>
      <c r="J26" s="1"/>
      <c r="K26" s="1"/>
      <c r="L26" s="1"/>
      <c r="M26" s="1"/>
      <c r="N26" s="1"/>
      <c r="O26" s="1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0" t="s">
        <v>48</v>
      </c>
      <c r="C27" s="61" t="s">
        <v>46</v>
      </c>
      <c r="D27" s="2"/>
      <c r="E27" s="62" t="s">
        <v>49</v>
      </c>
      <c r="F27" s="58"/>
      <c r="G27" s="2"/>
      <c r="H27" s="2"/>
      <c r="I27" s="33"/>
      <c r="J27" s="56" t="s">
        <v>50</v>
      </c>
      <c r="K27" s="2"/>
      <c r="L27" s="2"/>
      <c r="M27" s="1"/>
      <c r="N27" s="1"/>
      <c r="O27" s="1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0" t="s">
        <v>51</v>
      </c>
      <c r="C28" s="61" t="s">
        <v>46</v>
      </c>
      <c r="D28" s="2"/>
      <c r="E28" s="62" t="s">
        <v>52</v>
      </c>
      <c r="F28" s="58"/>
      <c r="G28" s="2"/>
      <c r="H28" s="2"/>
      <c r="I28" s="33"/>
      <c r="J28" s="63" t="s">
        <v>53</v>
      </c>
      <c r="K28" s="2"/>
      <c r="L28" s="2"/>
      <c r="M28" s="1"/>
      <c r="N28" s="1"/>
      <c r="O28" s="1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60" t="s">
        <v>54</v>
      </c>
      <c r="C29" s="61" t="s">
        <v>46</v>
      </c>
      <c r="D29" s="2"/>
      <c r="E29" s="62" t="s">
        <v>54</v>
      </c>
      <c r="F29" s="58"/>
      <c r="G29" s="2"/>
      <c r="H29" s="2"/>
      <c r="I29" s="33"/>
      <c r="J29" s="58" t="s">
        <v>55</v>
      </c>
      <c r="K29" s="2"/>
      <c r="L29" s="2"/>
      <c r="M29" s="1"/>
      <c r="N29" s="1"/>
      <c r="O29" s="1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60" t="s">
        <v>56</v>
      </c>
      <c r="C30" s="61" t="s">
        <v>46</v>
      </c>
      <c r="D30" s="2"/>
      <c r="E30" s="62" t="s">
        <v>56</v>
      </c>
      <c r="F30" s="58"/>
      <c r="G30" s="2"/>
      <c r="H30" s="2"/>
      <c r="I30" s="33"/>
      <c r="J30" s="10" t="s">
        <v>57</v>
      </c>
      <c r="K30" s="9"/>
      <c r="L30" s="9"/>
      <c r="M30" s="1"/>
      <c r="N30" s="1"/>
      <c r="O30" s="1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4"/>
      <c r="C31" s="2"/>
      <c r="D31" s="2"/>
      <c r="E31" s="2"/>
      <c r="F31" s="58"/>
      <c r="G31" s="2"/>
      <c r="H31" s="2"/>
      <c r="I31" s="33"/>
      <c r="J31" s="1"/>
      <c r="K31" s="1"/>
      <c r="L31" s="1"/>
      <c r="M31" s="1"/>
      <c r="N31" s="1"/>
      <c r="O31" s="1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3"/>
      <c r="C32" s="2"/>
      <c r="D32" s="58" t="s">
        <v>46</v>
      </c>
      <c r="E32" s="62" t="s">
        <v>58</v>
      </c>
      <c r="F32" s="58"/>
      <c r="G32" s="2"/>
      <c r="H32" s="2"/>
      <c r="I32" s="33"/>
      <c r="J32" s="1"/>
      <c r="K32" s="1"/>
      <c r="L32" s="1"/>
      <c r="M32" s="1"/>
      <c r="N32" s="1"/>
      <c r="O32" s="1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3"/>
      <c r="C33" s="2"/>
      <c r="D33" s="58" t="s">
        <v>46</v>
      </c>
      <c r="E33" s="2" t="s">
        <v>59</v>
      </c>
      <c r="F33" s="58"/>
      <c r="G33" s="2"/>
      <c r="H33" s="2"/>
      <c r="I33" s="33"/>
      <c r="J33" s="1"/>
      <c r="K33" s="1"/>
      <c r="L33" s="1"/>
      <c r="M33" s="1"/>
      <c r="N33" s="1"/>
      <c r="O33" s="1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5"/>
      <c r="C34" s="9"/>
      <c r="D34" s="66" t="s">
        <v>46</v>
      </c>
      <c r="E34" s="9" t="s">
        <v>60</v>
      </c>
      <c r="F34" s="10"/>
      <c r="G34" s="9"/>
      <c r="H34" s="9"/>
      <c r="I34" s="9"/>
      <c r="J34" s="12"/>
      <c r="K34" s="12"/>
      <c r="L34" s="12"/>
      <c r="M34" s="12"/>
      <c r="N34" s="12"/>
      <c r="O34" s="1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67"/>
      <c r="C35" s="68"/>
      <c r="D35" s="68"/>
      <c r="E35" s="68"/>
      <c r="F35" s="68"/>
      <c r="G35" s="68"/>
      <c r="H35" s="69" t="s">
        <v>61</v>
      </c>
      <c r="I35" s="68"/>
      <c r="J35" s="68"/>
      <c r="K35" s="68"/>
      <c r="L35" s="68"/>
      <c r="M35" s="70"/>
      <c r="N35" s="70"/>
      <c r="O35" s="7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3" t="s">
        <v>62</v>
      </c>
      <c r="C36" s="19"/>
      <c r="D36" s="19"/>
      <c r="E36" s="72"/>
      <c r="F36" s="73" t="s">
        <v>63</v>
      </c>
      <c r="G36" s="19"/>
      <c r="H36" s="19"/>
      <c r="I36" s="74"/>
      <c r="J36" s="75"/>
      <c r="K36" s="19" t="s">
        <v>64</v>
      </c>
      <c r="L36" s="19"/>
      <c r="M36" s="20"/>
      <c r="N36" s="24" t="s">
        <v>65</v>
      </c>
      <c r="O36" s="2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3" t="s">
        <v>66</v>
      </c>
      <c r="C37" s="19"/>
      <c r="D37" s="19"/>
      <c r="E37" s="72"/>
      <c r="F37" s="76" t="str">
        <f>INPUT!#REF!</f>
        <v>#ERROR!</v>
      </c>
      <c r="G37" s="19"/>
      <c r="H37" s="19"/>
      <c r="I37" s="19"/>
      <c r="J37" s="19"/>
      <c r="K37" s="19"/>
      <c r="L37" s="19"/>
      <c r="M37" s="20"/>
      <c r="N37" s="20"/>
      <c r="O37" s="2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77" t="s">
        <v>67</v>
      </c>
      <c r="C38" s="78"/>
      <c r="D38" s="78"/>
      <c r="E38" s="79"/>
      <c r="F38" s="73"/>
      <c r="G38" s="80"/>
      <c r="H38" s="19"/>
      <c r="I38" s="72"/>
      <c r="J38" s="73"/>
      <c r="K38" s="19"/>
      <c r="L38" s="19"/>
      <c r="M38" s="20"/>
      <c r="N38" s="81"/>
      <c r="O38" s="8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83"/>
      <c r="C39" s="84"/>
      <c r="D39" s="84"/>
      <c r="E39" s="85"/>
      <c r="F39" s="73"/>
      <c r="G39" s="19"/>
      <c r="H39" s="86" t="str">
        <f>INPUT!#REF!</f>
        <v>#ERROR!</v>
      </c>
      <c r="I39" s="87"/>
      <c r="J39" s="88"/>
      <c r="K39" s="19"/>
      <c r="L39" s="19"/>
      <c r="M39" s="20"/>
      <c r="N39" s="20"/>
      <c r="O39" s="2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89"/>
      <c r="C40" s="90"/>
      <c r="D40" s="90"/>
      <c r="E40" s="91"/>
      <c r="F40" s="14"/>
      <c r="G40" s="9"/>
      <c r="H40" s="9"/>
      <c r="I40" s="9"/>
      <c r="J40" s="9"/>
      <c r="K40" s="9"/>
      <c r="L40" s="9"/>
      <c r="M40" s="12"/>
      <c r="N40" s="12"/>
      <c r="O40" s="1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3" t="s">
        <v>68</v>
      </c>
      <c r="C41" s="19"/>
      <c r="D41" s="19"/>
      <c r="E41" s="72"/>
      <c r="F41" s="92"/>
      <c r="G41" s="19"/>
      <c r="H41" s="19"/>
      <c r="I41" s="19"/>
      <c r="J41" s="19"/>
      <c r="K41" s="19"/>
      <c r="L41" s="19"/>
      <c r="M41" s="20"/>
      <c r="N41" s="20"/>
      <c r="O41" s="2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93" t="s">
        <v>69</v>
      </c>
      <c r="C42" s="44"/>
      <c r="D42" s="44"/>
      <c r="E42" s="46"/>
      <c r="F42" s="94"/>
      <c r="G42" s="44"/>
      <c r="H42" s="44"/>
      <c r="I42" s="44"/>
      <c r="J42" s="44"/>
      <c r="K42" s="44"/>
      <c r="L42" s="44"/>
      <c r="M42" s="48"/>
      <c r="N42" s="48"/>
      <c r="O42" s="4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3" t="s">
        <v>70</v>
      </c>
      <c r="C43" s="44"/>
      <c r="D43" s="44"/>
      <c r="E43" s="46"/>
      <c r="F43" s="94"/>
      <c r="G43" s="44"/>
      <c r="H43" s="44"/>
      <c r="I43" s="44"/>
      <c r="J43" s="44"/>
      <c r="K43" s="44"/>
      <c r="L43" s="44"/>
      <c r="M43" s="48"/>
      <c r="N43" s="48"/>
      <c r="O43" s="49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4"/>
      <c r="C44" s="9"/>
      <c r="D44" s="9"/>
      <c r="E44" s="35"/>
      <c r="F44" s="95"/>
      <c r="G44" s="9"/>
      <c r="H44" s="9"/>
      <c r="I44" s="9"/>
      <c r="J44" s="9"/>
      <c r="K44" s="9"/>
      <c r="L44" s="9"/>
      <c r="M44" s="12"/>
      <c r="N44" s="12"/>
      <c r="O44" s="1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96" t="s">
        <v>71</v>
      </c>
      <c r="C45" s="97"/>
      <c r="D45" s="97"/>
      <c r="E45" s="98"/>
      <c r="F45" s="44"/>
      <c r="G45" s="44"/>
      <c r="H45" s="44"/>
      <c r="I45" s="44"/>
      <c r="J45" s="44"/>
      <c r="K45" s="44"/>
      <c r="L45" s="44"/>
      <c r="M45" s="48"/>
      <c r="N45" s="48"/>
      <c r="O45" s="49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99"/>
      <c r="C46" s="8"/>
      <c r="D46" s="8"/>
      <c r="E46" s="100"/>
      <c r="F46" s="101" t="str">
        <f>INPUT!#REF!</f>
        <v>#ERROR!</v>
      </c>
      <c r="G46" s="9"/>
      <c r="H46" s="9"/>
      <c r="I46" s="9"/>
      <c r="J46" s="9"/>
      <c r="K46" s="9"/>
      <c r="L46" s="9"/>
      <c r="M46" s="12"/>
      <c r="N46" s="12"/>
      <c r="O46" s="1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3" t="s">
        <v>72</v>
      </c>
      <c r="C47" s="19"/>
      <c r="D47" s="19"/>
      <c r="E47" s="72"/>
      <c r="F47" s="102"/>
      <c r="G47" s="103"/>
      <c r="H47" s="104"/>
      <c r="I47" s="104"/>
      <c r="J47" s="104"/>
      <c r="K47" s="104"/>
      <c r="L47" s="104"/>
      <c r="M47" s="105"/>
      <c r="N47" s="105"/>
      <c r="O47" s="106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3" t="s">
        <v>73</v>
      </c>
      <c r="C48" s="19"/>
      <c r="D48" s="19"/>
      <c r="E48" s="72"/>
      <c r="F48" s="107" t="str">
        <f>'DBR Sheet'!B28</f>
        <v>#DIV/0!</v>
      </c>
      <c r="G48" s="19"/>
      <c r="H48" s="19"/>
      <c r="I48" s="19"/>
      <c r="J48" s="19"/>
      <c r="K48" s="19"/>
      <c r="L48" s="19"/>
      <c r="M48" s="20"/>
      <c r="N48" s="20"/>
      <c r="O48" s="2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3" t="s">
        <v>74</v>
      </c>
      <c r="C49" s="23"/>
      <c r="D49" s="19"/>
      <c r="E49" s="19"/>
      <c r="F49" s="108" t="str">
        <f>'DBR Sheet'!#REF!</f>
        <v>#ERROR!</v>
      </c>
      <c r="G49" s="19"/>
      <c r="H49" s="19"/>
      <c r="I49" s="19"/>
      <c r="J49" s="19"/>
      <c r="K49" s="19"/>
      <c r="L49" s="19"/>
      <c r="M49" s="20"/>
      <c r="N49" s="20"/>
      <c r="O49" s="2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09"/>
      <c r="C50" s="110"/>
      <c r="D50" s="110"/>
      <c r="E50" s="110"/>
      <c r="F50" s="110"/>
      <c r="G50" s="110"/>
      <c r="H50" s="111" t="s">
        <v>75</v>
      </c>
      <c r="I50" s="110"/>
      <c r="J50" s="110"/>
      <c r="K50" s="110"/>
      <c r="L50" s="110"/>
      <c r="M50" s="112"/>
      <c r="N50" s="112"/>
      <c r="O50" s="113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14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6"/>
      <c r="N51" s="116"/>
      <c r="O51" s="11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09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2"/>
      <c r="N52" s="112"/>
      <c r="O52" s="11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18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20"/>
      <c r="N53" s="120"/>
      <c r="O53" s="12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3" t="s">
        <v>76</v>
      </c>
      <c r="C54" s="19"/>
      <c r="D54" s="19"/>
      <c r="E54" s="24" t="s">
        <v>77</v>
      </c>
      <c r="F54" s="19"/>
      <c r="G54" s="19"/>
      <c r="H54" s="19"/>
      <c r="I54" s="19"/>
      <c r="J54" s="19"/>
      <c r="K54" s="24" t="s">
        <v>78</v>
      </c>
      <c r="L54" s="19"/>
      <c r="M54" s="20"/>
      <c r="N54" s="20"/>
      <c r="O54" s="2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22" t="s">
        <v>79</v>
      </c>
      <c r="C55" s="123" t="s">
        <v>8</v>
      </c>
      <c r="D55" s="123" t="s">
        <v>80</v>
      </c>
      <c r="E55" s="124" t="s">
        <v>81</v>
      </c>
      <c r="F55" s="125"/>
      <c r="G55" s="125"/>
      <c r="H55" s="125"/>
      <c r="I55" s="125"/>
      <c r="J55" s="125"/>
      <c r="K55" s="125"/>
      <c r="L55" s="125"/>
      <c r="M55" s="126"/>
      <c r="N55" s="126"/>
      <c r="O55" s="12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28" t="s">
        <v>82</v>
      </c>
      <c r="C56" s="46"/>
      <c r="D56" s="73" t="s">
        <v>83</v>
      </c>
      <c r="E56" s="19"/>
      <c r="F56" s="19"/>
      <c r="G56" s="19"/>
      <c r="H56" s="24" t="s">
        <v>84</v>
      </c>
      <c r="I56" s="19"/>
      <c r="J56" s="72"/>
      <c r="K56" s="129"/>
      <c r="L56" s="48"/>
      <c r="M56" s="48"/>
      <c r="N56" s="48"/>
      <c r="O56" s="49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30" t="s">
        <v>85</v>
      </c>
      <c r="C57" s="33"/>
      <c r="D57" s="130" t="s">
        <v>86</v>
      </c>
      <c r="E57" s="2"/>
      <c r="F57" s="2"/>
      <c r="G57" s="2"/>
      <c r="H57" s="2"/>
      <c r="I57" s="2"/>
      <c r="J57" s="33"/>
      <c r="K57" s="131" t="s">
        <v>87</v>
      </c>
      <c r="L57" s="31"/>
      <c r="M57" s="1"/>
      <c r="N57" s="1"/>
      <c r="O57" s="1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30" t="s">
        <v>88</v>
      </c>
      <c r="C58" s="33"/>
      <c r="D58" s="130" t="s">
        <v>89</v>
      </c>
      <c r="E58" s="2"/>
      <c r="F58" s="2"/>
      <c r="G58" s="2"/>
      <c r="H58" s="2"/>
      <c r="I58" s="2"/>
      <c r="J58" s="33"/>
      <c r="K58" s="131" t="s">
        <v>90</v>
      </c>
      <c r="L58" s="1"/>
      <c r="M58" s="1"/>
      <c r="N58" s="1"/>
      <c r="O58" s="1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30" t="s">
        <v>91</v>
      </c>
      <c r="C59" s="33"/>
      <c r="D59" s="26"/>
      <c r="E59" s="2"/>
      <c r="F59" s="2"/>
      <c r="G59" s="2"/>
      <c r="H59" s="2"/>
      <c r="I59" s="2"/>
      <c r="J59" s="33"/>
      <c r="K59" s="131"/>
      <c r="L59" s="1"/>
      <c r="M59" s="1"/>
      <c r="N59" s="1"/>
      <c r="O59" s="1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32"/>
      <c r="C60" s="126"/>
      <c r="D60" s="126"/>
      <c r="E60" s="126"/>
      <c r="F60" s="126"/>
      <c r="G60" s="126"/>
      <c r="H60" s="124" t="s">
        <v>92</v>
      </c>
      <c r="I60" s="126"/>
      <c r="J60" s="126"/>
      <c r="K60" s="126"/>
      <c r="L60" s="126"/>
      <c r="M60" s="126"/>
      <c r="N60" s="126"/>
      <c r="O60" s="127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93" t="s">
        <v>93</v>
      </c>
      <c r="C61" s="48"/>
      <c r="D61" s="48"/>
      <c r="E61" s="48"/>
      <c r="F61" s="48"/>
      <c r="G61" s="48"/>
      <c r="H61" s="93" t="s">
        <v>94</v>
      </c>
      <c r="I61" s="48"/>
      <c r="J61" s="48"/>
      <c r="K61" s="48"/>
      <c r="L61" s="48"/>
      <c r="M61" s="48"/>
      <c r="N61" s="48"/>
      <c r="O61" s="49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1"/>
      <c r="C62" s="1"/>
      <c r="D62" s="1"/>
      <c r="E62" s="1"/>
      <c r="F62" s="1"/>
      <c r="G62" s="1"/>
      <c r="H62" s="27" t="s">
        <v>95</v>
      </c>
      <c r="I62" s="1"/>
      <c r="J62" s="1"/>
      <c r="K62" s="1"/>
      <c r="L62" s="1"/>
      <c r="M62" s="1"/>
      <c r="N62" s="1"/>
      <c r="O62" s="1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6"/>
      <c r="C63" s="12"/>
      <c r="D63" s="12"/>
      <c r="E63" s="12"/>
      <c r="F63" s="12"/>
      <c r="G63" s="12"/>
      <c r="H63" s="14" t="s">
        <v>96</v>
      </c>
      <c r="I63" s="12"/>
      <c r="J63" s="12"/>
      <c r="K63" s="12"/>
      <c r="L63" s="12"/>
      <c r="M63" s="12"/>
      <c r="N63" s="12"/>
      <c r="O63" s="1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93" t="s">
        <v>97</v>
      </c>
      <c r="C64" s="48"/>
      <c r="D64" s="48"/>
      <c r="E64" s="48"/>
      <c r="F64" s="48"/>
      <c r="G64" s="48"/>
      <c r="H64" s="133"/>
      <c r="I64" s="48"/>
      <c r="J64" s="48"/>
      <c r="K64" s="48"/>
      <c r="L64" s="48"/>
      <c r="M64" s="48"/>
      <c r="N64" s="48"/>
      <c r="O64" s="49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1"/>
      <c r="C65" s="1"/>
      <c r="D65" s="1"/>
      <c r="E65" s="1"/>
      <c r="F65" s="1"/>
      <c r="G65" s="1"/>
      <c r="H65" s="31"/>
      <c r="I65" s="1"/>
      <c r="J65" s="1"/>
      <c r="K65" s="1"/>
      <c r="L65" s="1"/>
      <c r="M65" s="1"/>
      <c r="N65" s="1"/>
      <c r="O65" s="1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1"/>
      <c r="C66" s="1"/>
      <c r="D66" s="1"/>
      <c r="E66" s="1"/>
      <c r="F66" s="1"/>
      <c r="G66" s="1"/>
      <c r="H66" s="31"/>
      <c r="I66" s="1"/>
      <c r="J66" s="1"/>
      <c r="K66" s="1"/>
      <c r="L66" s="1"/>
      <c r="M66" s="1"/>
      <c r="N66" s="1"/>
      <c r="O66" s="1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1"/>
      <c r="C67" s="1"/>
      <c r="D67" s="1"/>
      <c r="E67" s="1"/>
      <c r="F67" s="1"/>
      <c r="G67" s="1"/>
      <c r="H67" s="31"/>
      <c r="I67" s="1"/>
      <c r="J67" s="1"/>
      <c r="K67" s="1"/>
      <c r="L67" s="1"/>
      <c r="M67" s="1"/>
      <c r="N67" s="1"/>
      <c r="O67" s="1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1"/>
      <c r="C68" s="1"/>
      <c r="D68" s="1"/>
      <c r="E68" s="1"/>
      <c r="F68" s="1"/>
      <c r="G68" s="1"/>
      <c r="H68" s="31"/>
      <c r="I68" s="1"/>
      <c r="J68" s="1"/>
      <c r="K68" s="1"/>
      <c r="L68" s="1"/>
      <c r="M68" s="1"/>
      <c r="N68" s="1"/>
      <c r="O68" s="1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3:N3"/>
    <mergeCell ref="B4:E4"/>
    <mergeCell ref="B6:C6"/>
    <mergeCell ref="B45:E46"/>
  </mergeCells>
  <printOptions/>
  <pageMargins bottom="1.0" footer="0.0" header="0.0" left="1.25" right="0.2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.71"/>
    <col customWidth="1" min="2" max="2" width="35.43"/>
    <col customWidth="1" min="3" max="3" width="17.29"/>
    <col customWidth="1" min="4" max="4" width="13.71"/>
    <col customWidth="1" min="5" max="5" width="12.86"/>
    <col customWidth="1" min="6" max="6" width="14.0"/>
    <col customWidth="1" min="7" max="7" width="22.43"/>
    <col customWidth="1" min="8" max="8" width="22.86"/>
    <col customWidth="1" min="9" max="9" width="12.0"/>
    <col customWidth="1" min="10" max="10" width="13.57"/>
    <col customWidth="1" min="11" max="11" width="15.43"/>
    <col customWidth="1" min="12" max="12" width="24.29"/>
    <col customWidth="1" min="13" max="13" width="14.14"/>
    <col customWidth="1" min="14" max="14" width="12.29"/>
    <col customWidth="1" min="15" max="15" width="19.43"/>
    <col customWidth="1" min="16" max="16" width="19.29"/>
    <col customWidth="1" min="17" max="20" width="9.29"/>
    <col customWidth="1" min="21" max="21" width="14.29"/>
    <col customWidth="1" min="22" max="26" width="8.86"/>
  </cols>
  <sheetData>
    <row r="1" ht="30.0" customHeight="1">
      <c r="A1" s="134"/>
      <c r="B1" s="135" t="s">
        <v>98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6" t="s">
        <v>99</v>
      </c>
    </row>
    <row r="2" ht="24.75" customHeight="1">
      <c r="A2" s="134"/>
      <c r="B2" s="137" t="s">
        <v>100</v>
      </c>
      <c r="C2" s="138" t="s">
        <v>101</v>
      </c>
      <c r="D2" s="139"/>
      <c r="E2" s="139"/>
      <c r="F2" s="140"/>
      <c r="G2" s="141"/>
      <c r="H2" s="141"/>
      <c r="I2" s="141"/>
      <c r="J2" s="141"/>
      <c r="K2" s="142"/>
      <c r="L2" s="143">
        <f>TODAY()</f>
        <v>46051</v>
      </c>
      <c r="M2" s="144"/>
      <c r="N2" s="145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ht="15.75" customHeight="1">
      <c r="A3" s="134"/>
      <c r="B3" s="134"/>
      <c r="C3" s="146"/>
      <c r="E3" s="134"/>
      <c r="F3" s="134"/>
      <c r="G3" s="134"/>
      <c r="H3" s="146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47" t="str">
        <f>Formulas!B9</f>
        <v>#N/A</v>
      </c>
      <c r="V3" s="134"/>
      <c r="W3" s="134"/>
      <c r="X3" s="134"/>
      <c r="Y3" s="134"/>
      <c r="Z3" s="134"/>
    </row>
    <row r="4" ht="15.75" customHeight="1">
      <c r="A4" s="134"/>
      <c r="B4" s="148" t="s">
        <v>102</v>
      </c>
      <c r="C4" s="134"/>
      <c r="E4" s="134"/>
      <c r="F4" s="149" t="s">
        <v>103</v>
      </c>
      <c r="H4" s="134"/>
      <c r="I4" s="134"/>
      <c r="J4" s="134"/>
      <c r="K4" s="134"/>
      <c r="L4" s="148" t="s">
        <v>104</v>
      </c>
      <c r="M4" s="150" t="str">
        <f>Formulas!E15</f>
        <v>#N/A</v>
      </c>
      <c r="N4" s="151"/>
      <c r="O4" s="146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 ht="15.75" customHeight="1">
      <c r="A5" s="134"/>
      <c r="B5" s="152" t="s">
        <v>105</v>
      </c>
      <c r="C5" s="153"/>
      <c r="D5" s="140"/>
      <c r="E5" s="134"/>
      <c r="F5" s="154" t="s">
        <v>106</v>
      </c>
      <c r="G5" s="145"/>
      <c r="H5" s="155"/>
      <c r="I5" s="134"/>
      <c r="J5" s="156" t="s">
        <v>107</v>
      </c>
      <c r="K5" s="155"/>
      <c r="L5" s="152" t="s">
        <v>108</v>
      </c>
      <c r="M5" s="157"/>
      <c r="N5" s="140"/>
      <c r="O5" s="5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 ht="15.75" customHeight="1">
      <c r="A6" s="134"/>
      <c r="B6" s="152" t="s">
        <v>109</v>
      </c>
      <c r="C6" s="153"/>
      <c r="D6" s="140"/>
      <c r="E6" s="134"/>
      <c r="F6" s="154" t="s">
        <v>110</v>
      </c>
      <c r="G6" s="145"/>
      <c r="H6" s="155"/>
      <c r="I6" s="134"/>
      <c r="J6" s="134"/>
      <c r="K6" s="134"/>
      <c r="L6" s="152" t="str">
        <f>IF(H10=1,"Estimated Income","Bank Stmt Income")</f>
        <v>Bank Stmt Income</v>
      </c>
      <c r="M6" s="158"/>
      <c r="N6" s="140"/>
      <c r="O6" s="146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ht="15.75" customHeight="1">
      <c r="A7" s="134"/>
      <c r="B7" s="152" t="s">
        <v>111</v>
      </c>
      <c r="C7" s="159"/>
      <c r="D7" s="140"/>
      <c r="E7" s="134"/>
      <c r="F7" s="154" t="s">
        <v>112</v>
      </c>
      <c r="G7" s="160"/>
      <c r="H7" s="155"/>
      <c r="I7" s="134"/>
      <c r="J7" s="134"/>
      <c r="K7" s="134"/>
      <c r="L7" s="152" t="s">
        <v>113</v>
      </c>
      <c r="M7" s="158"/>
      <c r="N7" s="140"/>
      <c r="O7" s="146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ht="15.75" customHeight="1">
      <c r="A8" s="134"/>
      <c r="B8" s="152" t="s">
        <v>114</v>
      </c>
      <c r="C8" s="161"/>
      <c r="D8" s="140"/>
      <c r="E8" s="134"/>
      <c r="F8" s="154" t="s">
        <v>115</v>
      </c>
      <c r="G8" s="160"/>
      <c r="H8" s="162"/>
      <c r="I8" s="163"/>
      <c r="J8" s="134"/>
      <c r="K8" s="134"/>
      <c r="L8" s="152" t="s">
        <v>116</v>
      </c>
      <c r="M8" s="164"/>
      <c r="N8" s="140"/>
      <c r="O8" s="146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ht="15.75" customHeight="1">
      <c r="A9" s="134"/>
      <c r="B9" s="152" t="s">
        <v>117</v>
      </c>
      <c r="C9" s="165"/>
      <c r="D9" s="134" t="str">
        <f>IF(AND(U3="Self Employed",C9&lt;18),"Below Age",IF(AND(U3&lt;&gt;"Self Employed",C9&lt;21),"Below Age",IF(AND(U3="Self Employed",C9&gt;70),"Above Age",IF(AND(U3&lt;&gt;"Self Employed",C9&gt;70),"Above Age",""))))</f>
        <v>#N/A</v>
      </c>
      <c r="E9" s="134"/>
      <c r="F9" s="154" t="s">
        <v>118</v>
      </c>
      <c r="G9" s="145"/>
      <c r="H9" s="166"/>
      <c r="I9" s="140"/>
      <c r="J9" s="134"/>
      <c r="K9" s="134"/>
      <c r="L9" s="152" t="s">
        <v>119</v>
      </c>
      <c r="M9" s="167"/>
      <c r="N9" s="140"/>
      <c r="O9" s="146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ht="15.75" customHeight="1">
      <c r="A10" s="134"/>
      <c r="B10" s="134"/>
      <c r="C10" s="168"/>
      <c r="D10" s="134"/>
      <c r="E10" s="134"/>
      <c r="F10" s="154" t="s">
        <v>120</v>
      </c>
      <c r="G10" s="160"/>
      <c r="H10" s="166"/>
      <c r="I10" s="140"/>
      <c r="J10" s="169" t="s">
        <v>121</v>
      </c>
      <c r="K10" s="134"/>
      <c r="L10" s="152" t="s">
        <v>122</v>
      </c>
      <c r="M10" s="164"/>
      <c r="N10" s="140"/>
      <c r="O10" s="146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 ht="15.75" customHeight="1">
      <c r="A11" s="134"/>
      <c r="B11" s="134"/>
      <c r="C11" s="134"/>
      <c r="D11" s="170"/>
      <c r="E11" s="171">
        <v>1.0</v>
      </c>
      <c r="F11" s="154" t="s">
        <v>123</v>
      </c>
      <c r="G11" s="145"/>
      <c r="H11" s="172" t="str">
        <f>Formulas!J28</f>
        <v>#N/A</v>
      </c>
      <c r="I11" s="140"/>
      <c r="J11" s="173" t="str">
        <f>Formulas!I7</f>
        <v>#N/A</v>
      </c>
      <c r="K11" s="134"/>
      <c r="L11" s="134"/>
      <c r="M11" s="134"/>
      <c r="N11" s="134"/>
      <c r="O11" s="146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ht="15.0" customHeight="1">
      <c r="A12" s="134"/>
      <c r="B12" s="174" t="s">
        <v>124</v>
      </c>
      <c r="C12" s="170"/>
      <c r="D12" s="170"/>
      <c r="E12" s="170"/>
      <c r="F12" s="154" t="s">
        <v>125</v>
      </c>
      <c r="G12" s="145"/>
      <c r="H12" s="157"/>
      <c r="I12" s="140"/>
      <c r="J12" s="175" t="str">
        <f>CONCATENATE('DBR Sheet'!C28,'DBR Sheet'!G11)</f>
        <v>#DIV/0!</v>
      </c>
      <c r="M12" s="170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ht="15.0" customHeight="1">
      <c r="A13" s="134"/>
      <c r="C13" s="170"/>
      <c r="D13" s="170"/>
      <c r="E13" s="170"/>
      <c r="F13" s="170"/>
      <c r="G13" s="170"/>
      <c r="H13" s="176"/>
      <c r="I13" s="177"/>
      <c r="J13" s="178"/>
      <c r="K13" s="179"/>
      <c r="L13" s="179"/>
      <c r="M13" s="170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ht="15.0" customHeight="1">
      <c r="A14" s="134"/>
      <c r="C14" s="170"/>
      <c r="D14" s="170"/>
      <c r="E14" s="170"/>
      <c r="F14" s="170"/>
      <c r="G14" s="170"/>
      <c r="H14" s="180"/>
      <c r="I14" s="170"/>
      <c r="J14" s="170"/>
      <c r="K14" s="170"/>
      <c r="L14" s="181" t="str">
        <f>IF(COUNTIF(O16:O36,"Fin. Date &gt;Mat, Date")&gt;0,"Fin. Date &gt;Mat, Date","")</f>
        <v/>
      </c>
      <c r="M14" s="182"/>
      <c r="N14" s="183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ht="30.0" customHeight="1">
      <c r="A15" s="134"/>
      <c r="B15" s="184" t="s">
        <v>126</v>
      </c>
      <c r="C15" s="184" t="s">
        <v>127</v>
      </c>
      <c r="D15" s="185" t="s">
        <v>128</v>
      </c>
      <c r="E15" s="184" t="s">
        <v>129</v>
      </c>
      <c r="F15" s="184" t="s">
        <v>130</v>
      </c>
      <c r="G15" s="184" t="s">
        <v>131</v>
      </c>
      <c r="H15" s="184" t="s">
        <v>132</v>
      </c>
      <c r="I15" s="184" t="s">
        <v>133</v>
      </c>
      <c r="J15" s="184" t="s">
        <v>134</v>
      </c>
      <c r="K15" s="184" t="s">
        <v>135</v>
      </c>
      <c r="L15" s="184" t="s">
        <v>136</v>
      </c>
      <c r="M15" s="184" t="s">
        <v>137</v>
      </c>
      <c r="N15" s="184" t="s">
        <v>138</v>
      </c>
      <c r="O15" s="184" t="s">
        <v>139</v>
      </c>
      <c r="P15" s="184" t="s">
        <v>140</v>
      </c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ht="15.75" customHeight="1">
      <c r="A16" s="134"/>
      <c r="B16" s="186"/>
      <c r="C16" s="187"/>
      <c r="D16" s="187"/>
      <c r="E16" s="187"/>
      <c r="F16" s="188"/>
      <c r="G16" s="187"/>
      <c r="H16" s="189"/>
      <c r="I16" s="189"/>
      <c r="J16" s="189"/>
      <c r="K16" s="190"/>
      <c r="L16" s="190"/>
      <c r="M16" s="190"/>
      <c r="N16" s="187"/>
      <c r="O16" s="134"/>
      <c r="P16" s="191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ht="15.75" customHeight="1">
      <c r="A17" s="134"/>
      <c r="B17" s="192"/>
      <c r="C17" s="187"/>
      <c r="D17" s="187"/>
      <c r="E17" s="187"/>
      <c r="F17" s="187"/>
      <c r="G17" s="187"/>
      <c r="H17" s="189"/>
      <c r="I17" s="189"/>
      <c r="J17" s="189"/>
      <c r="K17" s="193"/>
      <c r="L17" s="193"/>
      <c r="M17" s="190"/>
      <c r="N17" s="187"/>
      <c r="O17" s="134"/>
      <c r="P17" s="19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ht="15.75" customHeight="1">
      <c r="A18" s="134"/>
      <c r="B18" s="192"/>
      <c r="C18" s="187"/>
      <c r="D18" s="187"/>
      <c r="E18" s="187"/>
      <c r="F18" s="187"/>
      <c r="G18" s="187"/>
      <c r="H18" s="189"/>
      <c r="I18" s="189"/>
      <c r="J18" s="189"/>
      <c r="K18" s="189"/>
      <c r="L18" s="190"/>
      <c r="M18" s="190"/>
      <c r="N18" s="187"/>
      <c r="O18" s="134"/>
      <c r="P18" s="19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ht="15.75" customHeight="1">
      <c r="A19" s="134"/>
      <c r="B19" s="195"/>
      <c r="C19" s="187"/>
      <c r="D19" s="187"/>
      <c r="E19" s="189"/>
      <c r="F19" s="187"/>
      <c r="G19" s="187"/>
      <c r="H19" s="196"/>
      <c r="I19" s="196"/>
      <c r="J19" s="196"/>
      <c r="K19" s="196"/>
      <c r="L19" s="197"/>
      <c r="M19" s="197"/>
      <c r="N19" s="187"/>
      <c r="O19" s="134"/>
      <c r="P19" s="19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ht="15.75" customHeight="1">
      <c r="A20" s="134"/>
      <c r="B20" s="195"/>
      <c r="C20" s="187"/>
      <c r="D20" s="187"/>
      <c r="E20" s="189"/>
      <c r="F20" s="198"/>
      <c r="G20" s="187"/>
      <c r="H20" s="196"/>
      <c r="I20" s="196"/>
      <c r="J20" s="196"/>
      <c r="K20" s="196"/>
      <c r="L20" s="197"/>
      <c r="M20" s="197"/>
      <c r="N20" s="187"/>
      <c r="O20" s="134"/>
      <c r="P20" s="19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ht="15.75" customHeight="1">
      <c r="A21" s="134"/>
      <c r="B21" s="195"/>
      <c r="C21" s="187"/>
      <c r="D21" s="187"/>
      <c r="E21" s="189"/>
      <c r="F21" s="199"/>
      <c r="G21" s="189"/>
      <c r="H21" s="196"/>
      <c r="I21" s="196"/>
      <c r="J21" s="196"/>
      <c r="K21" s="196"/>
      <c r="L21" s="197"/>
      <c r="M21" s="197"/>
      <c r="N21" s="187"/>
      <c r="O21" s="134"/>
      <c r="P21" s="19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ht="15.75" customHeight="1">
      <c r="A22" s="134"/>
      <c r="B22" s="195"/>
      <c r="C22" s="147"/>
      <c r="D22" s="147"/>
      <c r="E22" s="189"/>
      <c r="F22" s="199"/>
      <c r="G22" s="189"/>
      <c r="H22" s="196"/>
      <c r="I22" s="196"/>
      <c r="J22" s="196"/>
      <c r="K22" s="196"/>
      <c r="L22" s="200"/>
      <c r="M22" s="200"/>
      <c r="N22" s="147"/>
      <c r="O22" s="134" t="str">
        <f t="shared" ref="O22:O36" si="1">IF(L22&gt;M22,"Fin. Date &gt;Mat, Date","")</f>
        <v/>
      </c>
      <c r="P22" s="19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ht="15.75" customHeight="1">
      <c r="A23" s="134"/>
      <c r="B23" s="195"/>
      <c r="C23" s="147"/>
      <c r="D23" s="147"/>
      <c r="E23" s="189"/>
      <c r="F23" s="199"/>
      <c r="G23" s="189"/>
      <c r="H23" s="196"/>
      <c r="I23" s="196"/>
      <c r="J23" s="196"/>
      <c r="K23" s="196"/>
      <c r="L23" s="200"/>
      <c r="M23" s="200"/>
      <c r="N23" s="147"/>
      <c r="O23" s="134" t="str">
        <f t="shared" si="1"/>
        <v/>
      </c>
      <c r="P23" s="19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ht="15.75" customHeight="1">
      <c r="A24" s="134"/>
      <c r="B24" s="195"/>
      <c r="C24" s="147"/>
      <c r="D24" s="147"/>
      <c r="E24" s="196"/>
      <c r="F24" s="199"/>
      <c r="G24" s="196"/>
      <c r="H24" s="196"/>
      <c r="I24" s="196"/>
      <c r="J24" s="196"/>
      <c r="K24" s="196"/>
      <c r="L24" s="200"/>
      <c r="M24" s="200"/>
      <c r="N24" s="147"/>
      <c r="O24" s="134" t="str">
        <f t="shared" si="1"/>
        <v/>
      </c>
      <c r="P24" s="19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ht="15.75" customHeight="1">
      <c r="A25" s="134"/>
      <c r="B25" s="195"/>
      <c r="C25" s="147"/>
      <c r="D25" s="147"/>
      <c r="E25" s="196"/>
      <c r="F25" s="199"/>
      <c r="G25" s="196"/>
      <c r="H25" s="196"/>
      <c r="I25" s="196"/>
      <c r="J25" s="196"/>
      <c r="K25" s="196"/>
      <c r="L25" s="200"/>
      <c r="M25" s="200"/>
      <c r="N25" s="147"/>
      <c r="O25" s="134" t="str">
        <f t="shared" si="1"/>
        <v/>
      </c>
      <c r="P25" s="19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ht="15.75" customHeight="1">
      <c r="A26" s="134"/>
      <c r="B26" s="195"/>
      <c r="C26" s="147"/>
      <c r="D26" s="147"/>
      <c r="E26" s="196"/>
      <c r="F26" s="199"/>
      <c r="G26" s="196"/>
      <c r="H26" s="196"/>
      <c r="I26" s="196"/>
      <c r="J26" s="196"/>
      <c r="K26" s="196"/>
      <c r="L26" s="200"/>
      <c r="M26" s="200"/>
      <c r="N26" s="147"/>
      <c r="O26" s="134" t="str">
        <f t="shared" si="1"/>
        <v/>
      </c>
      <c r="P26" s="19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ht="15.75" customHeight="1">
      <c r="A27" s="134"/>
      <c r="B27" s="195"/>
      <c r="C27" s="147"/>
      <c r="D27" s="147"/>
      <c r="E27" s="196"/>
      <c r="F27" s="199"/>
      <c r="G27" s="196"/>
      <c r="H27" s="196"/>
      <c r="I27" s="196"/>
      <c r="J27" s="196"/>
      <c r="K27" s="196"/>
      <c r="L27" s="200"/>
      <c r="M27" s="200"/>
      <c r="N27" s="147"/>
      <c r="O27" s="134" t="str">
        <f t="shared" si="1"/>
        <v/>
      </c>
      <c r="P27" s="19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ht="15.75" customHeight="1">
      <c r="A28" s="134"/>
      <c r="B28" s="195"/>
      <c r="C28" s="147"/>
      <c r="D28" s="147"/>
      <c r="E28" s="196"/>
      <c r="F28" s="199"/>
      <c r="G28" s="196"/>
      <c r="H28" s="196"/>
      <c r="I28" s="196"/>
      <c r="J28" s="196"/>
      <c r="K28" s="196"/>
      <c r="L28" s="200"/>
      <c r="M28" s="200"/>
      <c r="N28" s="147"/>
      <c r="O28" s="134" t="str">
        <f t="shared" si="1"/>
        <v/>
      </c>
      <c r="P28" s="19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ht="15.75" customHeight="1">
      <c r="A29" s="134"/>
      <c r="B29" s="195"/>
      <c r="C29" s="147"/>
      <c r="D29" s="147"/>
      <c r="E29" s="196"/>
      <c r="F29" s="199"/>
      <c r="G29" s="196"/>
      <c r="H29" s="196"/>
      <c r="I29" s="196"/>
      <c r="J29" s="196"/>
      <c r="K29" s="196"/>
      <c r="L29" s="200"/>
      <c r="M29" s="200"/>
      <c r="N29" s="147"/>
      <c r="O29" s="134" t="str">
        <f t="shared" si="1"/>
        <v/>
      </c>
      <c r="P29" s="19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ht="15.75" customHeight="1">
      <c r="A30" s="134"/>
      <c r="B30" s="195"/>
      <c r="C30" s="147"/>
      <c r="D30" s="147"/>
      <c r="E30" s="196"/>
      <c r="F30" s="199"/>
      <c r="G30" s="196"/>
      <c r="H30" s="196"/>
      <c r="I30" s="196"/>
      <c r="J30" s="196"/>
      <c r="K30" s="196"/>
      <c r="L30" s="200"/>
      <c r="M30" s="200"/>
      <c r="N30" s="147"/>
      <c r="O30" s="134" t="str">
        <f t="shared" si="1"/>
        <v/>
      </c>
      <c r="P30" s="19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ht="15.75" customHeight="1">
      <c r="A31" s="134"/>
      <c r="B31" s="195"/>
      <c r="C31" s="147"/>
      <c r="D31" s="147"/>
      <c r="E31" s="196"/>
      <c r="F31" s="199"/>
      <c r="G31" s="196"/>
      <c r="H31" s="196"/>
      <c r="I31" s="196"/>
      <c r="J31" s="196"/>
      <c r="K31" s="196"/>
      <c r="L31" s="200"/>
      <c r="M31" s="200"/>
      <c r="N31" s="147"/>
      <c r="O31" s="134" t="str">
        <f t="shared" si="1"/>
        <v/>
      </c>
      <c r="P31" s="19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ht="15.75" customHeight="1">
      <c r="A32" s="134"/>
      <c r="B32" s="195"/>
      <c r="C32" s="147"/>
      <c r="D32" s="147"/>
      <c r="E32" s="196"/>
      <c r="F32" s="199"/>
      <c r="G32" s="196"/>
      <c r="H32" s="196"/>
      <c r="I32" s="196"/>
      <c r="J32" s="196"/>
      <c r="K32" s="196"/>
      <c r="L32" s="200"/>
      <c r="M32" s="200"/>
      <c r="N32" s="147"/>
      <c r="O32" s="134" t="str">
        <f t="shared" si="1"/>
        <v/>
      </c>
      <c r="P32" s="19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ht="15.75" customHeight="1">
      <c r="A33" s="134"/>
      <c r="B33" s="195"/>
      <c r="C33" s="147"/>
      <c r="D33" s="147"/>
      <c r="E33" s="196"/>
      <c r="F33" s="199"/>
      <c r="G33" s="196"/>
      <c r="H33" s="196"/>
      <c r="I33" s="196"/>
      <c r="J33" s="196"/>
      <c r="K33" s="196"/>
      <c r="L33" s="200"/>
      <c r="M33" s="200"/>
      <c r="N33" s="147"/>
      <c r="O33" s="134" t="str">
        <f t="shared" si="1"/>
        <v/>
      </c>
      <c r="P33" s="19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ht="15.75" customHeight="1">
      <c r="A34" s="134"/>
      <c r="B34" s="195"/>
      <c r="C34" s="147"/>
      <c r="D34" s="147"/>
      <c r="E34" s="196"/>
      <c r="F34" s="199"/>
      <c r="G34" s="196"/>
      <c r="H34" s="196"/>
      <c r="I34" s="196"/>
      <c r="J34" s="196"/>
      <c r="K34" s="196"/>
      <c r="L34" s="200"/>
      <c r="M34" s="200"/>
      <c r="N34" s="147"/>
      <c r="O34" s="134" t="str">
        <f t="shared" si="1"/>
        <v/>
      </c>
      <c r="P34" s="19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ht="15.75" customHeight="1">
      <c r="A35" s="134"/>
      <c r="B35" s="195"/>
      <c r="C35" s="147"/>
      <c r="D35" s="147"/>
      <c r="E35" s="196"/>
      <c r="F35" s="199"/>
      <c r="G35" s="196"/>
      <c r="H35" s="196"/>
      <c r="I35" s="196"/>
      <c r="J35" s="196"/>
      <c r="K35" s="196"/>
      <c r="L35" s="200"/>
      <c r="M35" s="200"/>
      <c r="N35" s="147"/>
      <c r="O35" s="134" t="str">
        <f t="shared" si="1"/>
        <v/>
      </c>
      <c r="P35" s="19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ht="15.75" customHeight="1">
      <c r="A36" s="134"/>
      <c r="B36" s="195"/>
      <c r="C36" s="147"/>
      <c r="D36" s="147"/>
      <c r="E36" s="196"/>
      <c r="F36" s="199"/>
      <c r="G36" s="196"/>
      <c r="H36" s="196"/>
      <c r="I36" s="196"/>
      <c r="J36" s="196"/>
      <c r="K36" s="196"/>
      <c r="L36" s="200"/>
      <c r="M36" s="200"/>
      <c r="N36" s="147"/>
      <c r="O36" s="134" t="str">
        <f t="shared" si="1"/>
        <v/>
      </c>
      <c r="P36" s="19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ht="15.75" customHeight="1">
      <c r="A37" s="134"/>
      <c r="B37" s="134"/>
      <c r="C37" s="146"/>
      <c r="D37" s="146"/>
      <c r="E37" s="134"/>
      <c r="F37" s="134"/>
      <c r="G37" s="134"/>
      <c r="H37" s="146"/>
      <c r="I37" s="146"/>
      <c r="J37" s="146"/>
      <c r="K37" s="134"/>
      <c r="L37" s="146"/>
      <c r="M37" s="146"/>
      <c r="N37" s="146"/>
      <c r="O37" s="146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ht="15.75" customHeight="1">
      <c r="A38" s="134"/>
      <c r="B38" s="134"/>
      <c r="C38" s="146"/>
      <c r="D38" s="146"/>
      <c r="E38" s="134"/>
      <c r="F38" s="134"/>
      <c r="G38" s="134"/>
      <c r="H38" s="146"/>
      <c r="I38" s="146"/>
      <c r="J38" s="146"/>
      <c r="K38" s="134"/>
      <c r="L38" s="146"/>
      <c r="M38" s="146"/>
      <c r="N38" s="146"/>
      <c r="O38" s="146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ht="15.75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ht="15.75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ht="15.75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ht="15.7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ht="15.7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5.7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ht="15.7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ht="15.7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ht="15.7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ht="15.7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ht="15.7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5.7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5.7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5.7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5.7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5.7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5.7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5.7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5.7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5.7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5.7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5.7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5.7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5.7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5.7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5.7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5.7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5.7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5.7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5.7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5.7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5.7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5.7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5.7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5.7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5.7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5.7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5.7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5.7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5.7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5.7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5.7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5.7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5.7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5.7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5.7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5.7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5.7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5.7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5.7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5.7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5.7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5.7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5.7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5.7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5.7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5.7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5.7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5.7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5.7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5.7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5.7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5.75" customHeigh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5.75" customHeigh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5.75" customHeigh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5.75" customHeigh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5.75" customHeigh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5.75" customHeigh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5.75" customHeigh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5.75" customHeigh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5.75" customHeigh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5.75" customHeigh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5.75" customHeigh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5.75" customHeigh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5.75" customHeigh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5.75" customHeigh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5.75" customHeigh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5.75" customHeigh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5.75" customHeigh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5.75" customHeigh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5.75" customHeigh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5.75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5.75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5.75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5.75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5.75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5.75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5.75" customHeigh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5.75" customHeigh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5.75" customHeigh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5.75" customHeigh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5.75" customHeigh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5.75" customHeigh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5.75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5.75" customHeigh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5.75" customHeigh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5.75" customHeigh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5.75" customHeigh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5.75" customHeigh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5.75" customHeigh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5.75" customHeigh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5.75" customHeigh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5.75" customHeigh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5.75" customHeigh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5.75" customHeigh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5.75" customHeigh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5.75" customHeigh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5.75" customHeigh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5.75" customHeigh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5.75" customHeigh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5.75" customHeigh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5.75" customHeigh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5.75" customHeigh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5.75" customHeigh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5.75" customHeigh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5.75" customHeigh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5.75" customHeigh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5.75" customHeigh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5.75" customHeigh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5.75" customHeigh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5.75" customHeigh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5.75" customHeigh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5.75" customHeigh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5.75" customHeigh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5.75" customHeigh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5.75" customHeigh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5.75" customHeigh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5.75" customHeigh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5.75" customHeigh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5.75" customHeigh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5.75" customHeigh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5.75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5.75" customHeigh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5.75" customHeigh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5.75" customHeigh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5.75" customHeigh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5.75" customHeigh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5.75" customHeigh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5.75" customHeigh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5.75" customHeigh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5.75" customHeigh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5.75" customHeigh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5.75" customHeigh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5.75" customHeigh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5.75" customHeigh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5.75" customHeigh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5.75" customHeigh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5.75" customHeigh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5.75" customHeigh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5.75" customHeigh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5.75" customHeigh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5.75" customHeigh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5.75" customHeigh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5.75" customHeigh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5.75" customHeigh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5.75" customHeigh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5.75" customHeigh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5.75" customHeigh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5.75" customHeigh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5.75" customHeigh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5.75" customHeigh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5.75" customHeigh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5.75" customHeigh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5.75" customHeigh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5.75" customHeigh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5.75" customHeigh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5.75" customHeigh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5.75" customHeigh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5.75" customHeigh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5.75" customHeigh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5.75" customHeigh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5.75" customHeigh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5.75" customHeigh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5.75" customHeigh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5.75" customHeigh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5.75" customHeigh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5.75" customHeigh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5.75" customHeigh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5.75" customHeigh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5.75" customHeigh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5.75" customHeigh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5.75" customHeigh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5.75" customHeigh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5.75" customHeigh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5.75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5.75" customHeigh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5.75" customHeigh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5.75" customHeigh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5.75" customHeigh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5.75" customHeigh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5.7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5.7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5.7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5.7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5.7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5.75" customHeigh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5.75" customHeigh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5.75" customHeigh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5.75" customHeigh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5.75" customHeigh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5.75" customHeigh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5.75" customHeigh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5.75" customHeigh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5.75" customHeigh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5.75" customHeigh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5.75" customHeigh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5.75" customHeigh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5.75" customHeigh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5.75" customHeigh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5.75" customHeigh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5.75" customHeigh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5.75" customHeigh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5.75" customHeigh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5.75" customHeigh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5.75" customHeigh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5.75" customHeigh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5.75" customHeigh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5.75" customHeigh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5.75" customHeigh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5.75" customHeigh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5.75" customHeigh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5.75" customHeigh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5.75" customHeigh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5.75" customHeigh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5.75" customHeigh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5.75" customHeigh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5.75" customHeigh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5.75" customHeigh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5.75" customHeigh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5.75" customHeigh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5.75" customHeigh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5.75" customHeigh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5.75" customHeigh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5.75" customHeigh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5.75" customHeigh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5.75" customHeigh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5.75" customHeigh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5.75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5.75" customHeigh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5.75" customHeigh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5.75" customHeigh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5.75" customHeigh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5.75" customHeigh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5.75" customHeigh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5.75" customHeigh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5.75" customHeigh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5.75" customHeigh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5.75" customHeigh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5.75" customHeigh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5.75" customHeigh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5.75" customHeigh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5.75" customHeigh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5.75" customHeigh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5.75" customHeigh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5.75" customHeigh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5.75" customHeigh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5.75" customHeigh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5.75" customHeigh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5.75" customHeigh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5.75" customHeigh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5.75" customHeigh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5.75" customHeigh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5.75" customHeigh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5.75" customHeigh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5.75" customHeigh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5.75" customHeight="1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5.75" customHeight="1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5.75" customHeight="1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5.75" customHeight="1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5.75" customHeight="1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5.75" customHeight="1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5.75" customHeight="1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5.75" customHeight="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5.75" customHeight="1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5.75" customHeight="1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5.75" customHeight="1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5.75" customHeight="1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5.75" customHeight="1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5.75" customHeight="1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5.75" customHeight="1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5.75" customHeight="1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5.75" customHeight="1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5.75" customHeight="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5.75" customHeight="1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5.75" customHeight="1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5.75" customHeight="1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5.75" customHeight="1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5.75" customHeight="1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5.75" customHeight="1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5.75" customHeight="1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5.75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5.75" customHeight="1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5.75" customHeight="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5.75" customHeight="1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5.75" customHeight="1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5.75" customHeight="1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5.75" customHeight="1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5.75" customHeight="1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5.75" customHeight="1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5.75" customHeight="1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5.75" customHeight="1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5.75" customHeight="1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5.75" customHeight="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5.75" customHeight="1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5.75" customHeight="1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5.75" customHeight="1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5.75" customHeight="1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5.75" customHeight="1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5.75" customHeight="1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5.75" customHeight="1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5.75" customHeight="1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5.75" customHeight="1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5.75" customHeight="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5.75" customHeight="1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5.75" customHeight="1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5.75" customHeight="1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5.75" customHeight="1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5.75" customHeight="1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5.75" customHeight="1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5.75" customHeight="1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5.75" customHeight="1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5.75" customHeight="1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5.75" customHeight="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5.75" customHeight="1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5.75" customHeight="1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5.75" customHeight="1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5.75" customHeight="1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5.75" customHeight="1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5.75" customHeight="1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5.75" customHeight="1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5.75" customHeight="1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5.75" customHeight="1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5.75" customHeight="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5.75" customHeight="1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5.75" customHeight="1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5.75" customHeight="1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5.75" customHeight="1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5.75" customHeight="1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5.75" customHeight="1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5.75" customHeight="1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5.75" customHeight="1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5.75" customHeight="1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5.75" customHeight="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5.75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5.75" customHeight="1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5.75" customHeight="1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5.75" customHeight="1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5.75" customHeight="1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5.75" customHeight="1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5.75" customHeight="1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5.75" customHeight="1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5.75" customHeight="1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5.75" customHeight="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5.75" customHeight="1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5.75" customHeight="1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5.75" customHeight="1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5.75" customHeight="1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5.75" customHeight="1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5.75" customHeight="1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5.75" customHeight="1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5.75" customHeight="1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5.75" customHeight="1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5.75" customHeight="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5.75" customHeight="1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5.75" customHeight="1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5.75" customHeight="1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5.75" customHeight="1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5.75" customHeight="1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5.75" customHeight="1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5.75" customHeight="1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5.75" customHeight="1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5.75" customHeight="1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5.75" customHeight="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5.75" customHeight="1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5.75" customHeight="1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5.75" customHeight="1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5.75" customHeight="1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5.75" customHeight="1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5.75" customHeight="1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5.75" customHeight="1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5.75" customHeight="1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5.75" customHeight="1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5.75" customHeight="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5.75" customHeight="1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5.75" customHeight="1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5.75" customHeight="1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5.75" customHeight="1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5.75" customHeight="1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5.75" customHeight="1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5.75" customHeight="1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5.75" customHeight="1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5.75" customHeight="1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5.75" customHeight="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5.75" customHeight="1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5.75" customHeight="1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5.75" customHeight="1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5.75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5.75" customHeight="1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5.75" customHeight="1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5.75" customHeight="1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5.75" customHeight="1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5.75" customHeight="1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5.75" customHeight="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5.75" customHeight="1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5.75" customHeight="1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5.75" customHeight="1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5.75" customHeight="1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5.75" customHeight="1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5.75" customHeight="1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5.75" customHeight="1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5.75" customHeight="1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5.75" customHeight="1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5.75" customHeight="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5.75" customHeight="1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5.75" customHeight="1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5.75" customHeight="1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5.75" customHeight="1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5.75" customHeight="1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5.75" customHeight="1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5.75" customHeight="1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5.75" customHeight="1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5.75" customHeight="1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5.75" customHeight="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5.75" customHeigh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5.75" customHeigh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5.75" customHeigh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5.75" customHeigh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5.75" customHeigh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5.75" customHeigh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5.75" customHeigh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5.75" customHeigh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5.75" customHeigh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5.75" customHeigh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5.75" customHeigh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5.75" customHeigh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5.75" customHeigh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5.75" customHeigh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5.75" customHeigh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5.75" customHeigh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5.75" customHeigh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5.75" customHeigh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5.75" customHeigh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5.75" customHeigh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5.75" customHeigh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5.75" customHeigh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5.75" customHeigh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5.75" customHeigh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5.75" customHeigh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5.75" customHeigh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5.75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5.75" customHeigh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5.75" customHeigh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5.75" customHeigh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5.75" customHeigh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5.75" customHeigh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5.75" customHeigh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5.75" customHeigh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5.75" customHeigh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5.75" customHeigh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5.75" customHeigh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5.75" customHeigh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5.75" customHeigh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5.75" customHeigh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5.75" customHeigh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5.75" customHeigh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5.75" customHeigh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5.75" customHeigh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5.75" customHeigh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5.75" customHeigh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5.75" customHeigh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5.75" customHeigh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ht="15.75" customHeigh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ht="15.75" customHeigh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ht="15.75" customHeigh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ht="15.75" customHeigh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ht="15.75" customHeigh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ht="15.75" customHeigh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ht="15.75" customHeigh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ht="15.75" customHeigh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ht="15.75" customHeigh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ht="15.75" customHeigh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ht="15.75" customHeigh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ht="15.75" customHeigh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ht="15.75" customHeigh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ht="15.75" customHeigh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ht="15.75" customHeigh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ht="15.75" customHeigh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ht="15.75" customHeigh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ht="15.75" customHeigh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ht="15.75" customHeigh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ht="15.75" customHeigh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ht="15.75" customHeigh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ht="15.75" customHeigh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ht="15.75" customHeigh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ht="15.75" customHeigh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ht="15.75" customHeigh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ht="15.75" customHeigh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ht="15.75" customHeigh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ht="15.75" customHeigh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ht="15.75" customHeigh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ht="15.75" customHeigh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ht="15.75" customHeigh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ht="15.75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ht="15.75" customHeigh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ht="15.75" customHeigh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ht="15.75" customHeigh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ht="15.75" customHeigh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ht="15.75" customHeigh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ht="15.75" customHeigh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ht="15.75" customHeigh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ht="15.75" customHeigh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ht="15.75" customHeigh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ht="15.75" customHeigh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ht="15.75" customHeigh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ht="15.75" customHeigh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ht="15.75" customHeigh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ht="15.75" customHeigh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ht="15.75" customHeigh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ht="15.75" customHeigh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ht="15.75" customHeigh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ht="15.75" customHeigh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ht="15.75" customHeigh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ht="15.75" customHeigh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ht="15.75" customHeigh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ht="15.75" customHeigh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ht="15.75" customHeigh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ht="15.75" customHeigh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ht="15.75" customHeigh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ht="15.75" customHeigh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ht="15.75" customHeigh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ht="15.75" customHeigh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ht="15.75" customHeigh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ht="15.75" customHeigh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ht="15.75" customHeigh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ht="15.75" customHeigh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ht="15.75" customHeigh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ht="15.75" customHeigh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ht="15.75" customHeigh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ht="15.75" customHeigh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ht="15.75" customHeigh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ht="15.75" customHeigh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ht="15.75" customHeigh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ht="15.75" customHeigh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ht="15.75" customHeigh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ht="15.75" customHeigh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ht="15.75" customHeigh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ht="15.75" customHeigh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ht="15.75" customHeigh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ht="15.75" customHeigh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ht="15.75" customHeigh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ht="15.75" customHeigh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ht="15.75" customHeigh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ht="15.75" customHeigh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ht="15.75" customHeigh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ht="15.75" customHeigh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ht="15.75" customHeigh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ht="15.75" customHeigh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ht="15.75" customHeigh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ht="15.75" customHeigh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ht="15.75" customHeigh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ht="15.75" customHeigh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ht="15.75" customHeigh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ht="15.75" customHeigh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ht="15.75" customHeigh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ht="15.75" customHeigh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ht="15.75" customHeigh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ht="15.75" customHeigh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ht="15.75" customHeigh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ht="15.75" customHeigh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ht="15.75" customHeigh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ht="15.75" customHeigh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ht="15.75" customHeigh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ht="15.75" customHeigh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5.75" customHeigh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5.75" customHeigh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5.75" customHeigh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5.75" customHeigh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5.75" customHeigh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5.75" customHeigh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5.75" customHeigh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5.75" customHeigh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5.75" customHeigh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5.75" customHeigh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5.75" customHeigh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5.75" customHeigh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5.75" customHeigh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5.75" customHeigh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5.75" customHeigh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5.75" customHeigh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5.75" customHeigh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5.75" customHeigh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5.75" customHeigh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5.75" customHeigh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5.75" customHeigh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5.75" customHeigh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5.75" customHeigh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5.75" customHeigh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5.75" customHeigh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5.75" customHeigh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5.75" customHeigh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5.75" customHeigh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5.75" customHeigh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5.75" customHeigh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5.75" customHeigh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5.75" customHeigh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5.75" customHeigh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5.75" customHeigh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5.75" customHeigh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5.75" customHeigh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5.75" customHeigh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5.75" customHeigh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5.75" customHeigh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5.75" customHeigh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5.75" customHeigh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5.75" customHeigh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5.75" customHeigh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5.75" customHeigh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5.75" customHeigh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5.75" customHeigh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5.75" customHeigh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5.75" customHeigh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5.75" customHeigh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5.75" customHeigh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5.75" customHeigh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5.75" customHeigh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5.75" customHeigh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5.75" customHeigh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5.75" customHeigh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5.75" customHeigh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5.75" customHeigh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5.75" customHeigh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5.75" customHeigh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5.75" customHeigh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5.75" customHeigh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5.75" customHeigh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5.75" customHeigh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5.75" customHeigh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5.75" customHeigh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5.75" customHeigh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5.75" customHeigh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5.75" customHeigh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5.75" customHeigh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5.75" customHeigh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5.75" customHeigh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5.75" customHeigh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5.75" customHeigh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5.75" customHeigh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5.75" customHeigh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5.75" customHeigh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5.75" customHeigh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5.75" customHeigh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5.75" customHeigh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5.75" customHeigh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5.75" customHeigh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5.75" customHeigh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5.75" customHeigh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5.75" customHeigh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5.75" customHeigh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5.75" customHeigh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5.75" customHeigh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5.75" customHeigh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5.75" customHeigh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5.75" customHeigh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5.75" customHeigh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5.75" customHeigh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5.75" customHeigh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5.75" customHeigh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5.75" customHeigh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5.75" customHeigh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5.75" customHeigh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5.75" customHeigh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5.75" customHeigh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5.75" customHeigh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5.75" customHeigh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5.75" customHeigh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5.75" customHeigh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5.75" customHeigh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5.75" customHeigh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5.75" customHeigh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5.75" customHeigh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5.75" customHeigh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5.75" customHeigh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5.75" customHeigh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5.75" customHeigh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5.75" customHeigh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5.75" customHeigh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5.75" customHeigh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5.75" customHeigh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5.75" customHeigh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5.75" customHeigh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5.75" customHeigh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5.75" customHeigh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5.75" customHeigh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5.75" customHeigh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5.75" customHeigh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5.75" customHeigh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5.75" customHeigh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5.75" customHeigh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5.75" customHeigh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5.75" customHeigh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5.75" customHeigh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5.75" customHeigh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5.75" customHeigh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5.75" customHeigh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5.75" customHeigh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5.75" customHeigh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5.75" customHeigh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5.75" customHeigh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5.75" customHeigh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5.75" customHeigh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5.75" customHeigh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5.75" customHeigh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5.75" customHeigh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5.75" customHeigh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5.75" customHeigh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5.75" customHeigh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5.75" customHeigh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5.75" customHeigh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5.75" customHeigh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5.75" customHeigh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5.75" customHeigh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5.75" customHeigh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5.75" customHeigh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5.75" customHeigh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5.75" customHeigh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5.75" customHeigh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5.75" customHeigh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5.75" customHeigh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5.75" customHeigh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5.75" customHeigh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5.75" customHeigh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5.75" customHeigh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5.75" customHeigh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5.75" customHeigh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5.75" customHeigh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5.75" customHeigh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5.75" customHeigh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5.75" customHeigh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5.75" customHeigh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5.75" customHeigh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5.75" customHeigh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5.75" customHeigh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5.75" customHeigh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5.75" customHeigh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5.75" customHeigh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5.75" customHeigh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5.75" customHeigh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5.75" customHeigh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5.75" customHeigh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5.75" customHeigh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5.75" customHeigh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5.75" customHeigh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5.75" customHeigh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5.75" customHeigh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5.75" customHeigh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5.75" customHeigh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5.75" customHeigh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5.75" customHeigh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5.75" customHeigh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5.75" customHeigh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5.75" customHeigh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5.75" customHeigh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5.75" customHeigh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5.75" customHeigh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5.75" customHeigh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5.75" customHeigh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5.75" customHeigh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5.75" customHeigh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5.75" customHeigh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5.75" customHeigh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5.75" customHeigh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5.75" customHeigh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5.75" customHeigh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5.75" customHeigh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5.75" customHeigh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5.75" customHeigh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5.75" customHeigh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5.75" customHeigh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5.75" customHeigh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5.75" customHeigh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5.75" customHeigh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5.75" customHeigh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5.75" customHeigh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5.75" customHeigh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5.75" customHeigh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5.75" customHeigh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5.75" customHeigh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5.75" customHeigh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5.75" customHeigh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5.75" customHeigh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5.75" customHeigh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5.75" customHeigh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5.75" customHeigh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5.75" customHeigh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5.75" customHeigh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5.75" customHeigh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5.75" customHeigh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5.75" customHeigh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5.75" customHeigh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5.75" customHeigh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5.75" customHeigh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5.75" customHeigh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5.75" customHeigh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5.75" customHeigh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5.75" customHeigh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5.75" customHeigh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5.75" customHeigh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5.75" customHeigh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5.75" customHeigh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5.75" customHeigh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5.75" customHeigh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5.75" customHeigh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5.75" customHeigh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5.75" customHeigh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5.75" customHeigh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5.75" customHeigh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5.75" customHeigh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5.75" customHeigh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5.75" customHeigh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5.75" customHeigh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5.75" customHeigh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5.75" customHeigh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5.75" customHeigh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5.75" customHeigh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5.75" customHeigh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5.75" customHeigh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5.75" customHeigh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5.75" customHeigh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5.75" customHeigh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5.75" customHeigh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5.75" customHeigh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5.75" customHeigh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5.75" customHeigh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5.75" customHeigh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5.75" customHeigh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5.75" customHeigh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5.75" customHeigh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5.75" customHeigh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5.75" customHeigh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5.75" customHeigh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5.75" customHeigh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5.75" customHeigh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5.75" customHeigh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5.75" customHeigh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5.75" customHeigh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5.75" customHeigh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5.75" customHeigh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5.75" customHeigh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5.75" customHeigh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5.75" customHeigh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5.75" customHeigh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5.75" customHeigh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5.75" customHeigh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5.75" customHeigh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5.75" customHeigh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5.75" customHeigh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5.75" customHeigh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5.75" customHeigh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5.75" customHeigh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5.75" customHeigh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5.75" customHeigh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5.75" customHeigh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5.75" customHeigh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5.75" customHeigh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5.75" customHeigh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5.75" customHeigh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5.75" customHeigh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5.75" customHeigh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5.75" customHeigh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5.75" customHeigh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5.75" customHeigh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5.75" customHeigh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5.75" customHeigh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5.75" customHeigh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5.75" customHeigh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5.75" customHeigh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5.75" customHeigh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5.75" customHeigh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5.75" customHeigh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5.75" customHeigh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5.75" customHeigh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5.75" customHeigh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5.75" customHeigh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5.75" customHeigh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5.75" customHeigh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5.75" customHeigh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5.75" customHeigh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5.75" customHeigh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5.75" customHeigh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5.75" customHeigh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5.75" customHeigh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5.75" customHeigh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5.75" customHeigh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5.75" customHeigh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5.75" customHeigh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5.75" customHeigh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5.75" customHeigh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5.75" customHeigh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5.75" customHeigh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5.75" customHeigh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5.75" customHeigh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5.75" customHeigh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5.75" customHeigh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5.75" customHeigh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5.75" customHeigh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5.75" customHeigh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5.75" customHeigh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5.75" customHeigh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5.75" customHeigh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5.75" customHeigh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5.75" customHeigh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5.75" customHeigh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5.75" customHeigh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5.75" customHeigh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5.75" customHeigh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5.75" customHeigh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5.75" customHeigh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5.75" customHeigh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5.75" customHeigh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5.75" customHeigh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5.75" customHeigh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5.75" customHeigh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5.75" customHeigh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5.75" customHeigh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ht="15.75" customHeigh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ht="15.75" customHeigh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ht="15.75" customHeigh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ht="15.75" customHeigh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ht="15.75" customHeigh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ht="15.75" customHeigh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ht="15.75" customHeigh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ht="15.75" customHeigh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ht="15.75" customHeigh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ht="15.75" customHeigh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ht="15.75" customHeigh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ht="15.75" customHeigh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ht="15.75" customHeigh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ht="15.75" customHeigh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ht="15.75" customHeigh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ht="15.75" customHeigh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ht="15.75" customHeigh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ht="15.75" customHeigh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ht="15.75" customHeigh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ht="15.75" customHeigh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ht="15.75" customHeigh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ht="15.75" customHeigh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ht="15.75" customHeigh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ht="15.75" customHeigh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ht="15.75" customHeigh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ht="15.75" customHeigh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ht="15.75" customHeigh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ht="15.75" customHeigh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ht="15.75" customHeigh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ht="15.75" customHeight="1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ht="15.75" customHeight="1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ht="15.75" customHeight="1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ht="15.75" customHeight="1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ht="15.75" customHeight="1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ht="15.75" customHeight="1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ht="15.75" customHeight="1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ht="15.75" customHeight="1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ht="15.75" customHeight="1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mergeCells count="33">
    <mergeCell ref="M5:N5"/>
    <mergeCell ref="M6:N6"/>
    <mergeCell ref="M7:N7"/>
    <mergeCell ref="M8:N8"/>
    <mergeCell ref="M9:N9"/>
    <mergeCell ref="M10:N10"/>
    <mergeCell ref="C2:F2"/>
    <mergeCell ref="L2:N2"/>
    <mergeCell ref="C3:D3"/>
    <mergeCell ref="H3:J3"/>
    <mergeCell ref="C4:D4"/>
    <mergeCell ref="M4:N4"/>
    <mergeCell ref="C5:D5"/>
    <mergeCell ref="F4:G4"/>
    <mergeCell ref="F5:G5"/>
    <mergeCell ref="C6:D6"/>
    <mergeCell ref="F6:G6"/>
    <mergeCell ref="C7:D7"/>
    <mergeCell ref="F7:G7"/>
    <mergeCell ref="C8:D8"/>
    <mergeCell ref="F11:G11"/>
    <mergeCell ref="F12:G12"/>
    <mergeCell ref="J12:L12"/>
    <mergeCell ref="H12:I12"/>
    <mergeCell ref="H13:I13"/>
    <mergeCell ref="L14:N14"/>
    <mergeCell ref="F8:G8"/>
    <mergeCell ref="F9:G9"/>
    <mergeCell ref="H9:I9"/>
    <mergeCell ref="F10:G10"/>
    <mergeCell ref="H10:I10"/>
    <mergeCell ref="H11:I11"/>
    <mergeCell ref="B12:B14"/>
  </mergeCells>
  <conditionalFormatting sqref="M4:N4">
    <cfRule type="expression" dxfId="0" priority="1">
      <formula>$M$4&lt;&gt;""</formula>
    </cfRule>
  </conditionalFormatting>
  <conditionalFormatting sqref="D9">
    <cfRule type="expression" dxfId="0" priority="2">
      <formula>D9&lt;&gt;""</formula>
    </cfRule>
  </conditionalFormatting>
  <conditionalFormatting sqref="M9:N9">
    <cfRule type="expression" dxfId="0" priority="3">
      <formula>$M$9&lt;&gt;0</formula>
    </cfRule>
  </conditionalFormatting>
  <conditionalFormatting sqref="J12">
    <cfRule type="expression" dxfId="0" priority="4">
      <formula>$J$12&lt;&gt;""</formula>
    </cfRule>
  </conditionalFormatting>
  <conditionalFormatting sqref="H13">
    <cfRule type="expression" dxfId="0" priority="5">
      <formula>$H$13&lt;&gt;""</formula>
    </cfRule>
  </conditionalFormatting>
  <conditionalFormatting sqref="O16:O36">
    <cfRule type="expression" dxfId="0" priority="6">
      <formula>O16&lt;&gt;""</formula>
    </cfRule>
  </conditionalFormatting>
  <conditionalFormatting sqref="O17:O36">
    <cfRule type="expression" dxfId="0" priority="7">
      <formula>O17&lt;&gt;""</formula>
    </cfRule>
  </conditionalFormatting>
  <conditionalFormatting sqref="L14">
    <cfRule type="expression" dxfId="0" priority="8">
      <formula>$L$14&lt;&gt;""</formula>
    </cfRule>
  </conditionalFormatting>
  <dataValidations>
    <dataValidation type="list" allowBlank="1" showErrorMessage="1" sqref="H6">
      <formula1>"Contractual,Permanent,Self Employed"</formula1>
    </dataValidation>
    <dataValidation type="list" allowBlank="1" showErrorMessage="1" sqref="D16:D36">
      <formula1>"T,E"</formula1>
    </dataValidation>
    <dataValidation type="list" allowBlank="1" showErrorMessage="1" sqref="H7">
      <formula1>"L1,L2,L3,No Deviation,PR"</formula1>
    </dataValidation>
    <dataValidation type="list" allowBlank="1" showErrorMessage="1" sqref="H5">
      <formula1>"Category A,Category B,Category C,Non Approved Company,Self Employed"</formula1>
    </dataValidation>
    <dataValidation type="custom" allowBlank="1" showDropDown="1" showInputMessage="1" showErrorMessage="1" prompt="Enter a value that satisfies the formula: =AND(ISNUMBER(C7), LEN(TEXT(C7, &quot;0&quot;)) = 13)" sqref="C7">
      <formula1>AND(ISNUMBER(C7), LEN(TEXT(C7, "0")) = 13)</formula1>
    </dataValidation>
    <dataValidation type="list" allowBlank="1" showErrorMessage="1" sqref="B16:B36">
      <formula1>"Y,N"</formula1>
    </dataValidation>
    <dataValidation type="list" allowBlank="1" showErrorMessage="1" sqref="N16:N36">
      <formula1>"U,S"</formula1>
    </dataValidation>
    <dataValidation type="list" allowBlank="1" showErrorMessage="1" sqref="K5 H8">
      <formula1>"Yes,No"</formula1>
    </dataValidation>
    <dataValidation type="custom" allowBlank="1" showErrorMessage="1" sqref="H12">
      <formula1>H12&lt;=H11</formula1>
    </dataValidation>
  </dataValidations>
  <printOptions horizontalCentered="1"/>
  <pageMargins bottom="0.75" footer="0.0" header="0.0" left="0.7" right="0.7" top="0.75"/>
  <pageSetup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5.57"/>
    <col customWidth="1" min="2" max="2" width="33.71"/>
    <col customWidth="1" min="3" max="3" width="26.57"/>
    <col customWidth="1" min="4" max="4" width="22.0"/>
    <col customWidth="1" min="5" max="5" width="32.14"/>
    <col customWidth="1" min="6" max="6" width="18.86"/>
    <col customWidth="1" min="7" max="7" width="22.57"/>
    <col customWidth="1" min="8" max="8" width="17.57"/>
    <col customWidth="1" hidden="1" min="9" max="9" width="17.57"/>
    <col customWidth="1" hidden="1" min="10" max="10" width="10.57"/>
    <col customWidth="1" hidden="1" min="11" max="11" width="11.29"/>
    <col customWidth="1" hidden="1" min="12" max="12" width="12.71"/>
    <col customWidth="1" hidden="1" min="13" max="13" width="12.43"/>
    <col customWidth="1" hidden="1" min="14" max="14" width="15.29"/>
    <col customWidth="1" hidden="1" min="15" max="15" width="14.71"/>
    <col customWidth="1" hidden="1" min="16" max="16" width="9.29"/>
    <col customWidth="1" hidden="1" min="17" max="17" width="11.29"/>
    <col customWidth="1" hidden="1" min="18" max="23" width="9.29"/>
    <col customWidth="1" hidden="1" min="24" max="24" width="15.71"/>
    <col customWidth="1" hidden="1" min="25" max="28" width="9.29"/>
    <col customWidth="1" hidden="1" min="29" max="29" width="13.29"/>
    <col customWidth="1" hidden="1" min="30" max="30" width="11.71"/>
  </cols>
  <sheetData>
    <row r="1" ht="41.25" customHeight="1">
      <c r="A1" s="201" t="s">
        <v>141</v>
      </c>
      <c r="B1" s="135"/>
      <c r="C1" s="135"/>
      <c r="D1" s="135"/>
      <c r="E1" s="135"/>
      <c r="F1" s="135"/>
      <c r="G1" s="135"/>
      <c r="H1" s="202"/>
      <c r="I1" s="202"/>
      <c r="J1" s="203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134"/>
      <c r="Z1" s="134"/>
      <c r="AA1" s="134"/>
      <c r="AB1" s="134"/>
      <c r="AC1" s="134"/>
      <c r="AD1" s="134"/>
    </row>
    <row r="2" ht="18.0" customHeight="1">
      <c r="A2" s="204" t="str">
        <f>CONCATENATE("MCE Generatd  by", " ",INPUT!C2," ","on", " ",TEXT(NOW(),"[$-F800]dddd, mmmm dd, yyyy"))</f>
        <v>MCE Generatd  by kodev.ali@jsbl.com on Thursday, January 29, 2026</v>
      </c>
      <c r="C2" s="205"/>
      <c r="D2" s="205"/>
      <c r="E2" s="203" t="s">
        <v>142</v>
      </c>
      <c r="J2" s="206"/>
      <c r="K2" s="207"/>
      <c r="L2" s="208"/>
      <c r="M2" s="209"/>
      <c r="N2" s="208"/>
      <c r="O2" s="209"/>
      <c r="P2" s="207"/>
      <c r="Q2" s="207"/>
      <c r="R2" s="207"/>
      <c r="S2" s="207"/>
      <c r="T2" s="207"/>
      <c r="U2" s="207"/>
      <c r="V2" s="207"/>
      <c r="W2" s="207"/>
      <c r="X2" s="207"/>
      <c r="Y2" s="134"/>
      <c r="Z2" s="134"/>
      <c r="AA2" s="134"/>
      <c r="AB2" s="134"/>
      <c r="AC2" s="134"/>
      <c r="AD2" s="134"/>
    </row>
    <row r="3" ht="19.5" customHeight="1">
      <c r="A3" s="210" t="s">
        <v>143</v>
      </c>
      <c r="B3" s="211"/>
      <c r="C3" s="211"/>
      <c r="D3" s="211"/>
      <c r="E3" s="212"/>
      <c r="F3" s="211"/>
      <c r="G3" s="211"/>
      <c r="H3" s="211"/>
      <c r="I3" s="211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134"/>
      <c r="Z3" s="134"/>
      <c r="AA3" s="134"/>
      <c r="AB3" s="134"/>
      <c r="AC3" s="134"/>
      <c r="AD3" s="134"/>
    </row>
    <row r="4" ht="15.75" customHeight="1">
      <c r="A4" s="213" t="s">
        <v>105</v>
      </c>
      <c r="B4" s="214" t="str">
        <f>INPUT!C5</f>
        <v/>
      </c>
      <c r="C4" s="215"/>
      <c r="D4" s="215"/>
      <c r="E4" s="216" t="s">
        <v>144</v>
      </c>
      <c r="F4" s="211"/>
      <c r="G4" s="211"/>
      <c r="H4" s="211"/>
      <c r="I4" s="211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134"/>
      <c r="Z4" s="134"/>
      <c r="AA4" s="134"/>
      <c r="AB4" s="134"/>
      <c r="AC4" s="134"/>
      <c r="AD4" s="134"/>
    </row>
    <row r="5" ht="15.75" customHeight="1">
      <c r="A5" s="213" t="s">
        <v>145</v>
      </c>
      <c r="B5" s="217" t="str">
        <f>INPUT!C6</f>
        <v/>
      </c>
      <c r="C5" s="218"/>
      <c r="D5" s="218"/>
      <c r="E5" s="219" t="s">
        <v>146</v>
      </c>
      <c r="F5" s="220">
        <f>SUM(H34:H65)+F26</f>
        <v>0</v>
      </c>
      <c r="G5" s="211"/>
      <c r="H5" s="211"/>
      <c r="I5" s="211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134"/>
      <c r="Z5" s="134"/>
      <c r="AA5" s="134"/>
      <c r="AB5" s="134"/>
      <c r="AC5" s="134"/>
      <c r="AD5" s="134"/>
    </row>
    <row r="6" ht="15.75" customHeight="1">
      <c r="A6" s="213" t="s">
        <v>111</v>
      </c>
      <c r="B6" s="221" t="str">
        <f>INPUT!C7</f>
        <v/>
      </c>
      <c r="C6" s="222"/>
      <c r="D6" s="222"/>
      <c r="E6" s="219" t="s">
        <v>147</v>
      </c>
      <c r="F6" s="220">
        <f>SUM(H34:H65)</f>
        <v>0</v>
      </c>
      <c r="G6" s="211"/>
      <c r="H6" s="211"/>
      <c r="I6" s="211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134"/>
      <c r="Z6" s="134"/>
      <c r="AA6" s="134"/>
      <c r="AB6" s="134"/>
      <c r="AC6" s="134"/>
      <c r="AD6" s="134"/>
    </row>
    <row r="7" ht="15.75" customHeight="1">
      <c r="A7" s="213" t="s">
        <v>148</v>
      </c>
      <c r="B7" s="223" t="str">
        <f>INPUT!C9</f>
        <v/>
      </c>
      <c r="C7" s="224" t="str">
        <f>INPUT!C8</f>
        <v/>
      </c>
      <c r="D7" s="222" t="str">
        <f>INPUT!D9</f>
        <v>#N/A</v>
      </c>
      <c r="E7" s="225" t="s">
        <v>149</v>
      </c>
      <c r="F7" s="220">
        <f>SUMIFS($H$34:$H$65,$R$34:$R$65,"U")</f>
        <v>0</v>
      </c>
      <c r="G7" s="226"/>
      <c r="H7" s="211"/>
      <c r="I7" s="211"/>
      <c r="J7" s="207"/>
      <c r="K7" s="207"/>
      <c r="L7" s="207"/>
      <c r="M7" s="207"/>
      <c r="N7" s="207"/>
      <c r="O7" s="207"/>
      <c r="P7" s="207"/>
      <c r="Q7" s="207"/>
      <c r="R7" s="207"/>
      <c r="S7" s="227"/>
      <c r="T7" s="207"/>
      <c r="U7" s="207"/>
      <c r="V7" s="207"/>
      <c r="W7" s="207"/>
      <c r="X7" s="207"/>
      <c r="Y7" s="134"/>
      <c r="Z7" s="134"/>
      <c r="AA7" s="134"/>
      <c r="AB7" s="134"/>
      <c r="AC7" s="134"/>
      <c r="AD7" s="134"/>
    </row>
    <row r="8" ht="15.75" customHeight="1">
      <c r="A8" s="213" t="s">
        <v>106</v>
      </c>
      <c r="B8" s="217" t="str">
        <f>Formulas!B9</f>
        <v>#N/A</v>
      </c>
      <c r="C8" s="222"/>
      <c r="D8" s="222"/>
      <c r="E8" s="219" t="s">
        <v>150</v>
      </c>
      <c r="F8" s="220">
        <f>SUMIFS($H$34:$H$65,$R$34:$R$65,"S")</f>
        <v>0</v>
      </c>
      <c r="G8" s="211"/>
      <c r="H8" s="211"/>
      <c r="I8" s="211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134"/>
      <c r="Z8" s="134"/>
      <c r="AA8" s="134"/>
      <c r="AB8" s="134"/>
      <c r="AC8" s="134"/>
      <c r="AD8" s="134"/>
    </row>
    <row r="9" ht="15.75" customHeight="1">
      <c r="A9" s="213" t="s">
        <v>151</v>
      </c>
      <c r="B9" s="228" t="str">
        <f>IF(B8="Self Employed",B8,Formulas!D7)</f>
        <v>#N/A</v>
      </c>
      <c r="C9" s="229"/>
      <c r="D9" s="229"/>
      <c r="E9" s="211"/>
      <c r="F9" s="211"/>
      <c r="G9" s="211"/>
      <c r="H9" s="211"/>
      <c r="I9" s="211"/>
      <c r="J9" s="207"/>
      <c r="K9" s="207"/>
      <c r="L9" s="207"/>
      <c r="M9" s="207"/>
      <c r="N9" s="207"/>
      <c r="O9" s="207"/>
      <c r="P9" s="230"/>
      <c r="Q9" s="207"/>
      <c r="R9" s="207"/>
      <c r="S9" s="207"/>
      <c r="T9" s="207"/>
      <c r="U9" s="207"/>
      <c r="V9" s="207"/>
      <c r="W9" s="207"/>
      <c r="X9" s="207"/>
      <c r="Y9" s="134"/>
      <c r="Z9" s="134"/>
      <c r="AA9" s="134"/>
      <c r="AB9" s="134"/>
      <c r="AC9" s="134"/>
      <c r="AD9" s="134"/>
    </row>
    <row r="10" ht="15.75" customHeight="1">
      <c r="A10" s="231">
        <v>0.0</v>
      </c>
      <c r="B10" s="228" t="str">
        <f>INPUT!K5</f>
        <v/>
      </c>
      <c r="C10" s="229"/>
      <c r="D10" s="232" t="s">
        <v>141</v>
      </c>
      <c r="E10" s="216" t="s">
        <v>152</v>
      </c>
      <c r="F10" s="211"/>
      <c r="G10" s="211"/>
      <c r="H10" s="211"/>
      <c r="I10" s="211"/>
      <c r="J10" s="207"/>
      <c r="K10" s="207"/>
      <c r="L10" s="207"/>
      <c r="M10" s="207"/>
      <c r="N10" s="207"/>
      <c r="O10" s="207"/>
      <c r="P10" s="207"/>
      <c r="Q10" s="207"/>
      <c r="R10" s="207"/>
      <c r="S10" s="230"/>
      <c r="T10" s="207"/>
      <c r="U10" s="207"/>
      <c r="V10" s="207"/>
      <c r="W10" s="207"/>
      <c r="X10" s="207"/>
      <c r="Y10" s="134"/>
      <c r="Z10" s="134"/>
      <c r="AA10" s="134"/>
      <c r="AB10" s="134"/>
      <c r="AC10" s="134"/>
      <c r="AD10" s="134"/>
    </row>
    <row r="11" ht="15.75" customHeight="1">
      <c r="A11" s="213" t="s">
        <v>153</v>
      </c>
      <c r="B11" s="228" t="str">
        <f>Formulas!I5</f>
        <v>#N/A</v>
      </c>
      <c r="C11" s="222"/>
      <c r="D11" s="222"/>
      <c r="E11" s="233" t="s">
        <v>154</v>
      </c>
      <c r="F11" s="220"/>
      <c r="G11" s="234" t="str">
        <f>IF(AND(B11="Yes",F11&gt;7000000),"Unsec Exp Exceeds 7mm",IF(AND(F11&gt;3000000,B11&lt;&gt;"Yes"),"Unsec Exp Exceeds 3mm",""))</f>
        <v>#N/A</v>
      </c>
      <c r="H11" s="211"/>
      <c r="I11" s="211"/>
      <c r="J11" s="207"/>
      <c r="K11" s="235">
        <f>3000000-F12</f>
        <v>3000000</v>
      </c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134"/>
      <c r="Z11" s="134"/>
      <c r="AA11" s="134"/>
      <c r="AB11" s="134"/>
      <c r="AC11" s="134"/>
      <c r="AD11" s="134"/>
    </row>
    <row r="12" ht="15.75" customHeight="1">
      <c r="A12" s="213" t="s">
        <v>13</v>
      </c>
      <c r="B12" s="236" t="str">
        <f>Formulas!C13</f>
        <v>NTI</v>
      </c>
      <c r="C12" s="222"/>
      <c r="D12" s="222"/>
      <c r="E12" s="237" t="s">
        <v>155</v>
      </c>
      <c r="F12" s="220">
        <f>F11-F24</f>
        <v>0</v>
      </c>
      <c r="G12" s="238"/>
      <c r="H12" s="222"/>
      <c r="I12" s="222"/>
      <c r="J12" s="207"/>
      <c r="K12" s="235">
        <f>7000000-F12</f>
        <v>7000000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134"/>
      <c r="Z12" s="134"/>
      <c r="AA12" s="134"/>
      <c r="AB12" s="134"/>
      <c r="AC12" s="134"/>
      <c r="AD12" s="134"/>
    </row>
    <row r="13" ht="15.75" customHeight="1">
      <c r="A13" s="213" t="s">
        <v>79</v>
      </c>
      <c r="B13" s="236" t="str">
        <f>Formulas!F8</f>
        <v>#N/A</v>
      </c>
      <c r="C13" s="222"/>
      <c r="D13" s="222"/>
      <c r="E13" s="239" t="s">
        <v>156</v>
      </c>
      <c r="F13" s="220" t="str">
        <f>IF(B11="No",K11,K12)*0.95</f>
        <v>#N/A</v>
      </c>
      <c r="G13" s="212"/>
      <c r="H13" s="211"/>
      <c r="I13" s="211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134"/>
      <c r="Z13" s="134"/>
      <c r="AA13" s="134"/>
      <c r="AB13" s="134"/>
      <c r="AC13" s="134"/>
      <c r="AD13" s="134"/>
    </row>
    <row r="14" ht="15.75" customHeight="1">
      <c r="A14" s="211"/>
      <c r="B14" s="211"/>
      <c r="C14" s="240"/>
      <c r="D14" s="240"/>
      <c r="E14" s="211"/>
      <c r="F14" s="211"/>
      <c r="G14" s="212"/>
      <c r="H14" s="211"/>
      <c r="I14" s="211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134"/>
      <c r="Z14" s="134"/>
      <c r="AA14" s="134"/>
      <c r="AB14" s="134"/>
      <c r="AC14" s="134"/>
      <c r="AD14" s="134"/>
    </row>
    <row r="15" ht="19.5" customHeight="1">
      <c r="A15" s="210" t="s">
        <v>157</v>
      </c>
      <c r="B15" s="211"/>
      <c r="C15" s="215"/>
      <c r="D15" s="215"/>
      <c r="E15" s="210" t="s">
        <v>74</v>
      </c>
      <c r="F15" s="241"/>
      <c r="G15" s="212"/>
      <c r="H15" s="211"/>
      <c r="I15" s="211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134"/>
      <c r="Z15" s="134"/>
      <c r="AA15" s="134"/>
      <c r="AB15" s="134"/>
      <c r="AC15" s="134"/>
      <c r="AD15" s="134"/>
    </row>
    <row r="16" ht="21.75" customHeight="1">
      <c r="A16" s="213" t="s">
        <v>158</v>
      </c>
      <c r="B16" s="220" t="str">
        <f>INPUT!M5</f>
        <v/>
      </c>
      <c r="C16" s="242" t="str">
        <f>INPUT!M4</f>
        <v>#N/A</v>
      </c>
      <c r="D16" s="211"/>
      <c r="E16" s="212"/>
      <c r="F16" s="212"/>
      <c r="G16" s="212"/>
      <c r="H16" s="211"/>
      <c r="I16" s="211"/>
      <c r="J16" s="243"/>
      <c r="K16" s="243"/>
      <c r="L16" s="243"/>
      <c r="M16" s="207"/>
      <c r="N16" s="244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134"/>
      <c r="Z16" s="134"/>
      <c r="AA16" s="134"/>
      <c r="AB16" s="134"/>
      <c r="AC16" s="134"/>
      <c r="AD16" s="134"/>
    </row>
    <row r="17" ht="15.75" customHeight="1">
      <c r="A17" s="213" t="s">
        <v>113</v>
      </c>
      <c r="B17" s="220" t="str">
        <f>INPUT!M7</f>
        <v/>
      </c>
      <c r="C17" s="211"/>
      <c r="D17" s="211"/>
      <c r="E17" s="212"/>
      <c r="F17" s="212"/>
      <c r="G17" s="212"/>
      <c r="H17" s="211"/>
      <c r="I17" s="211"/>
      <c r="J17" s="245"/>
      <c r="K17" s="243"/>
      <c r="L17" s="243"/>
      <c r="M17" s="207"/>
      <c r="N17" s="244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134"/>
      <c r="Z17" s="134"/>
      <c r="AA17" s="134"/>
      <c r="AB17" s="134"/>
      <c r="AC17" s="134"/>
      <c r="AD17" s="134"/>
    </row>
    <row r="18" ht="15.75" customHeight="1">
      <c r="A18" s="246" t="s">
        <v>116</v>
      </c>
      <c r="B18" s="247">
        <f>B16+B17</f>
        <v>0</v>
      </c>
      <c r="C18" s="248" t="str">
        <f>IF(B17&lt;&gt;0,"Variable income considered","")</f>
        <v/>
      </c>
      <c r="D18" s="248"/>
      <c r="E18" s="212"/>
      <c r="F18" s="212"/>
      <c r="G18" s="212"/>
      <c r="H18" s="211"/>
      <c r="I18" s="211"/>
      <c r="J18" s="207"/>
      <c r="K18" s="207"/>
      <c r="L18" s="207"/>
      <c r="M18" s="207"/>
      <c r="N18" s="249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134"/>
      <c r="Z18" s="134"/>
      <c r="AA18" s="134"/>
      <c r="AB18" s="134"/>
      <c r="AC18" s="134"/>
      <c r="AD18" s="134"/>
    </row>
    <row r="19" ht="15.75" customHeight="1">
      <c r="A19" s="213" t="s">
        <v>159</v>
      </c>
      <c r="B19" s="220" t="str">
        <f>INPUT!M9</f>
        <v/>
      </c>
      <c r="C19" s="248"/>
      <c r="D19" s="248"/>
      <c r="E19" s="212"/>
      <c r="F19" s="212"/>
      <c r="G19" s="212"/>
      <c r="H19" s="211"/>
      <c r="I19" s="211"/>
      <c r="J19" s="250"/>
      <c r="K19" s="207"/>
      <c r="L19" s="207"/>
      <c r="M19" s="207"/>
      <c r="N19" s="249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134"/>
      <c r="Z19" s="134"/>
      <c r="AA19" s="134"/>
      <c r="AB19" s="134"/>
      <c r="AC19" s="134"/>
      <c r="AD19" s="134"/>
    </row>
    <row r="20" ht="15.75" customHeight="1">
      <c r="A20" s="246" t="s">
        <v>160</v>
      </c>
      <c r="B20" s="247">
        <f>B18-B19</f>
        <v>0</v>
      </c>
      <c r="C20" s="248"/>
      <c r="D20" s="248"/>
      <c r="E20" s="212"/>
      <c r="F20" s="212"/>
      <c r="G20" s="212"/>
      <c r="H20" s="211"/>
      <c r="I20" s="211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134"/>
      <c r="Z20" s="134"/>
      <c r="AA20" s="134"/>
      <c r="AB20" s="134"/>
      <c r="AC20" s="134"/>
      <c r="AD20" s="134"/>
    </row>
    <row r="21" ht="15.75" customHeight="1">
      <c r="A21" s="211"/>
      <c r="B21" s="211"/>
      <c r="C21" s="248"/>
      <c r="D21" s="248"/>
      <c r="E21" s="212"/>
      <c r="F21" s="212"/>
      <c r="G21" s="212"/>
      <c r="H21" s="211"/>
      <c r="I21" s="211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134"/>
      <c r="Z21" s="134"/>
      <c r="AA21" s="134"/>
      <c r="AB21" s="134"/>
      <c r="AC21" s="134"/>
      <c r="AD21" s="134"/>
    </row>
    <row r="22" ht="15.75" customHeight="1">
      <c r="A22" s="211"/>
      <c r="B22" s="211"/>
      <c r="C22" s="248"/>
      <c r="D22" s="248"/>
      <c r="E22" s="212"/>
      <c r="F22" s="212"/>
      <c r="G22" s="212"/>
      <c r="H22" s="211"/>
      <c r="I22" s="211"/>
      <c r="J22" s="202"/>
      <c r="K22" s="202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134"/>
      <c r="Z22" s="134"/>
      <c r="AA22" s="134"/>
      <c r="AB22" s="134"/>
      <c r="AC22" s="134"/>
      <c r="AD22" s="134"/>
    </row>
    <row r="23" ht="15.75" customHeight="1">
      <c r="A23" s="251" t="s">
        <v>161</v>
      </c>
      <c r="B23" s="211"/>
      <c r="C23" s="248"/>
      <c r="D23" s="248"/>
      <c r="E23" s="252" t="s">
        <v>162</v>
      </c>
      <c r="F23" s="252" t="s">
        <v>163</v>
      </c>
      <c r="G23" s="212"/>
      <c r="H23" s="211"/>
      <c r="I23" s="211"/>
      <c r="J23" s="250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134"/>
      <c r="Z23" s="134"/>
      <c r="AA23" s="134"/>
      <c r="AB23" s="134"/>
      <c r="AC23" s="134"/>
      <c r="AD23" s="134"/>
    </row>
    <row r="24" ht="15.75" customHeight="1">
      <c r="A24" s="213" t="s">
        <v>164</v>
      </c>
      <c r="B24" s="220" t="str">
        <f>INPUT!H11</f>
        <v>#N/A</v>
      </c>
      <c r="C24" s="253"/>
      <c r="D24" s="213" t="s">
        <v>165</v>
      </c>
      <c r="E24" s="220"/>
      <c r="F24" s="220"/>
      <c r="G24" s="212"/>
      <c r="H24" s="211"/>
      <c r="I24" s="211"/>
      <c r="J24" s="227"/>
      <c r="K24" s="179"/>
      <c r="L24" s="254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134"/>
      <c r="Z24" s="134"/>
      <c r="AA24" s="134"/>
      <c r="AB24" s="134"/>
      <c r="AC24" s="134"/>
      <c r="AD24" s="134"/>
    </row>
    <row r="25" ht="15.75" customHeight="1">
      <c r="A25" s="213" t="s">
        <v>166</v>
      </c>
      <c r="B25" s="220"/>
      <c r="C25" s="253"/>
      <c r="D25" s="202"/>
      <c r="E25" s="202"/>
      <c r="F25" s="202"/>
      <c r="G25" s="212"/>
      <c r="H25" s="211"/>
      <c r="I25" s="211"/>
      <c r="J25" s="227"/>
      <c r="K25" s="179"/>
      <c r="L25" s="254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134"/>
      <c r="Z25" s="134"/>
      <c r="AA25" s="134"/>
      <c r="AB25" s="134"/>
      <c r="AC25" s="134"/>
      <c r="AD25" s="134"/>
    </row>
    <row r="26" ht="15.75" hidden="1" customHeight="1">
      <c r="A26" s="211"/>
      <c r="B26" s="211" t="str">
        <f>INPUT!H13</f>
        <v/>
      </c>
      <c r="C26" s="211"/>
      <c r="D26" s="213" t="s">
        <v>167</v>
      </c>
      <c r="E26" s="220">
        <f>B25*0.05</f>
        <v>0</v>
      </c>
      <c r="F26" s="220">
        <f>(B25+E26)*0.05</f>
        <v>0</v>
      </c>
      <c r="G26" s="212"/>
      <c r="H26" s="211"/>
      <c r="I26" s="211"/>
      <c r="J26" s="227"/>
      <c r="K26" s="179"/>
      <c r="L26" s="254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134"/>
      <c r="Z26" s="134"/>
      <c r="AA26" s="134"/>
      <c r="AB26" s="134"/>
      <c r="AC26" s="134"/>
      <c r="AD26" s="134"/>
    </row>
    <row r="27" ht="15.75" customHeight="1">
      <c r="A27" s="211"/>
      <c r="B27" s="211"/>
      <c r="C27" s="222"/>
      <c r="D27" s="222"/>
      <c r="E27" s="212"/>
      <c r="F27" s="212"/>
      <c r="G27" s="212"/>
      <c r="H27" s="211"/>
      <c r="I27" s="211"/>
      <c r="J27" s="227"/>
      <c r="K27" s="179"/>
      <c r="L27" s="254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134"/>
      <c r="Z27" s="134"/>
      <c r="AA27" s="134"/>
      <c r="AB27" s="134"/>
      <c r="AC27" s="134"/>
      <c r="AD27" s="134"/>
    </row>
    <row r="28" ht="15.75" customHeight="1">
      <c r="A28" s="246" t="s">
        <v>168</v>
      </c>
      <c r="B28" s="255" t="str">
        <f>F5/B20</f>
        <v>#DIV/0!</v>
      </c>
      <c r="C28" s="256" t="str">
        <f>IF(B28&gt;=39.5%,"HIGH DBR",IF(B28&gt;0.35,"B.H Recommendation Required.",IF(B28&lt;=0.35,"")))</f>
        <v>#DIV/0!</v>
      </c>
      <c r="E28" s="211"/>
      <c r="F28" s="211"/>
      <c r="G28" s="211"/>
      <c r="H28" s="211"/>
      <c r="I28" s="211"/>
      <c r="J28" s="227"/>
      <c r="K28" s="179"/>
      <c r="L28" s="254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134"/>
      <c r="Z28" s="134"/>
      <c r="AA28" s="134"/>
      <c r="AB28" s="134"/>
      <c r="AC28" s="134"/>
      <c r="AD28" s="134"/>
    </row>
    <row r="29" ht="15.75" customHeight="1">
      <c r="A29" s="246" t="s">
        <v>169</v>
      </c>
      <c r="B29" s="257" t="str">
        <f>IF(C28="B.H Recommendation Required.",35%,40%)</f>
        <v>#DIV/0!</v>
      </c>
      <c r="C29" s="258"/>
      <c r="D29" s="258"/>
      <c r="E29" s="211"/>
      <c r="F29" s="211"/>
      <c r="G29" s="226"/>
      <c r="H29" s="211"/>
      <c r="I29" s="211"/>
      <c r="J29" s="227"/>
      <c r="K29" s="179"/>
      <c r="L29" s="254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134"/>
      <c r="Z29" s="134"/>
      <c r="AA29" s="134"/>
      <c r="AB29" s="134"/>
      <c r="AC29" s="134"/>
      <c r="AD29" s="134"/>
    </row>
    <row r="30" ht="15.75" customHeight="1">
      <c r="A30" s="211"/>
      <c r="B30" s="211"/>
      <c r="C30" s="259"/>
      <c r="D30" s="211"/>
      <c r="E30" s="260"/>
      <c r="F30" s="261"/>
      <c r="G30" s="261"/>
      <c r="H30" s="211"/>
      <c r="I30" s="211"/>
      <c r="J30" s="254"/>
      <c r="K30" s="202"/>
      <c r="L30" s="202"/>
      <c r="M30" s="207"/>
      <c r="N30" s="207"/>
      <c r="O30" s="207">
        <f>IF(B34="E",0.05*C34,IF(AND(OR(A34=9,A34=33,A34=46),B34="T"),PMT(0.15/12,J34,-C34),IF(AND(OR(A34=29,A34=24,A34=25,A34=26,A34=27,A34=28),B34="T"),PMT(0.18/12,J34,-C34),IF(AND(OR(A34=6,A34=15,A34=16,A34=17,A34=21,A34=31),B34="T"),PMT(0.2/12,J34,-C34),IF(AND(A34=4,B34="T"),PMT(0.21/12,J34,-C34),IF(AND(OR(A34=37,A34=38),B34="T"),PMT(0.26/12,J34,-C34),IF(AND(A34=54,B34="T"),PMT(0.05/12,J34,-C34),0)))))))</f>
        <v>0</v>
      </c>
      <c r="P30" s="207"/>
      <c r="Q30" s="207"/>
      <c r="R30" s="207"/>
      <c r="S30" s="207"/>
      <c r="T30" s="207"/>
      <c r="U30" s="207"/>
      <c r="V30" s="207"/>
      <c r="W30" s="207"/>
      <c r="X30" s="134"/>
      <c r="Y30" s="134"/>
      <c r="Z30" s="134"/>
      <c r="AA30" s="134"/>
      <c r="AB30" s="134"/>
      <c r="AC30" s="134"/>
      <c r="AD30" s="134"/>
    </row>
    <row r="31" ht="15.75" customHeight="1">
      <c r="A31" s="262" t="s">
        <v>170</v>
      </c>
      <c r="B31" s="144"/>
      <c r="C31" s="144"/>
      <c r="D31" s="144"/>
      <c r="E31" s="144"/>
      <c r="F31" s="144"/>
      <c r="G31" s="144"/>
      <c r="H31" s="145"/>
      <c r="I31" s="263"/>
      <c r="J31" s="254"/>
      <c r="K31" s="264"/>
      <c r="L31" s="202"/>
      <c r="M31" s="202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134"/>
      <c r="Y31" s="134"/>
      <c r="Z31" s="134"/>
      <c r="AA31" s="134"/>
      <c r="AB31" s="134"/>
      <c r="AC31" s="134"/>
      <c r="AD31" s="134"/>
    </row>
    <row r="32" ht="15.75" hidden="1" customHeight="1">
      <c r="A32" s="222"/>
      <c r="B32" s="222"/>
      <c r="C32" s="265" t="s">
        <v>171</v>
      </c>
      <c r="D32" s="222"/>
      <c r="E32" s="266">
        <f>MIN(E34:E65)</f>
        <v>0</v>
      </c>
      <c r="F32" s="267"/>
      <c r="G32" s="222"/>
      <c r="H32" s="222"/>
      <c r="I32" s="222"/>
      <c r="J32" s="268" t="s">
        <v>172</v>
      </c>
      <c r="K32" s="254"/>
      <c r="L32" s="269">
        <f t="shared" ref="L32:M32" si="1">MIN(L34:L65)</f>
        <v>0</v>
      </c>
      <c r="M32" s="269">
        <f t="shared" si="1"/>
        <v>0</v>
      </c>
      <c r="N32" s="268" t="s">
        <v>173</v>
      </c>
      <c r="O32" s="254"/>
      <c r="P32" s="254"/>
      <c r="Q32" s="254"/>
      <c r="R32" s="254"/>
      <c r="S32" s="254"/>
      <c r="T32" s="254"/>
      <c r="U32" s="254"/>
      <c r="V32" s="254"/>
      <c r="W32" s="254"/>
      <c r="X32" s="134"/>
      <c r="Y32" s="134"/>
      <c r="Z32" s="134"/>
      <c r="AA32" s="134"/>
      <c r="AB32" s="134"/>
      <c r="AC32" s="146" t="s">
        <v>174</v>
      </c>
      <c r="AD32" s="146" t="s">
        <v>174</v>
      </c>
    </row>
    <row r="33" ht="65.25" customHeight="1">
      <c r="A33" s="270" t="s">
        <v>127</v>
      </c>
      <c r="B33" s="271" t="s">
        <v>175</v>
      </c>
      <c r="C33" s="272" t="s">
        <v>176</v>
      </c>
      <c r="D33" s="271" t="s">
        <v>177</v>
      </c>
      <c r="E33" s="272" t="s">
        <v>178</v>
      </c>
      <c r="F33" s="272" t="s">
        <v>179</v>
      </c>
      <c r="G33" s="272" t="s">
        <v>180</v>
      </c>
      <c r="H33" s="272" t="s">
        <v>181</v>
      </c>
      <c r="I33" s="272" t="s">
        <v>182</v>
      </c>
      <c r="J33" s="273" t="s">
        <v>183</v>
      </c>
      <c r="K33" s="273" t="s">
        <v>184</v>
      </c>
      <c r="L33" s="274" t="s">
        <v>185</v>
      </c>
      <c r="M33" s="275" t="s">
        <v>186</v>
      </c>
      <c r="N33" s="274" t="s">
        <v>187</v>
      </c>
      <c r="O33" s="276" t="s">
        <v>181</v>
      </c>
      <c r="P33" s="277" t="s">
        <v>188</v>
      </c>
      <c r="Q33" s="274" t="s">
        <v>189</v>
      </c>
      <c r="R33" s="278"/>
      <c r="S33" s="279" t="s">
        <v>190</v>
      </c>
      <c r="T33" s="278"/>
      <c r="U33" s="278"/>
      <c r="V33" s="278"/>
      <c r="W33" s="278"/>
      <c r="X33" s="280">
        <v>0.0</v>
      </c>
      <c r="Y33" s="280">
        <v>0.0</v>
      </c>
      <c r="Z33" s="280" t="s">
        <v>191</v>
      </c>
      <c r="AA33" s="134"/>
      <c r="AB33" s="134"/>
      <c r="AC33" s="274" t="s">
        <v>192</v>
      </c>
      <c r="AD33" s="274" t="s">
        <v>193</v>
      </c>
    </row>
    <row r="34" ht="15.75" customHeight="1">
      <c r="A34" s="281" t="str">
        <f>IF(INPUT!C16="","",INPUT!C16)</f>
        <v/>
      </c>
      <c r="B34" s="281" t="str">
        <f>IF(INPUT!D16="","",INPUT!D16)</f>
        <v/>
      </c>
      <c r="C34" s="282" t="str">
        <f>IF(INPUT!E16="","",INPUT!E16)</f>
        <v/>
      </c>
      <c r="D34" s="282" t="str">
        <f>IF(INPUT!G16="","",INPUT!G16)</f>
        <v/>
      </c>
      <c r="E34" s="283" t="str">
        <f>IF(INPUT!L16="","",INPUT!L16)</f>
        <v/>
      </c>
      <c r="F34" s="283" t="str">
        <f>IF(INPUT!M16="","",INPUT!M16)</f>
        <v/>
      </c>
      <c r="G34" s="281" t="str">
        <f>IF(H34="","",CONCATENATE(IF(INPUT!N16="","",INPUT!N16)," - ",TEXT(H34,"0,00")))</f>
        <v/>
      </c>
      <c r="H34" s="282" t="str">
        <f>IF(A34="","",IF(P34="y",INPUT!P16,O34))</f>
        <v/>
      </c>
      <c r="I34" s="284" t="str">
        <f>IFERROR(VLOOKUP(S34,Formulas!$T$2:$U$77,2,0),"")</f>
        <v/>
      </c>
      <c r="J34" s="285">
        <f t="shared" ref="J34:J70" si="2">IF(F34="",0,(F34-E34)/(365.25/12))</f>
        <v>0</v>
      </c>
      <c r="K34" s="286">
        <f t="shared" ref="K34:K70" si="3">IF(E34="",0,(TODAY()-E34)/(365.25/12))</f>
        <v>0</v>
      </c>
      <c r="L34" s="287" t="str">
        <f t="shared" ref="L34:L65" si="4">IF(AND(R34="U",NOT(E34="")),E34,"")</f>
        <v/>
      </c>
      <c r="M34" s="287" t="str">
        <f t="shared" ref="M34:M65" si="5">IF(AND(R34="S",NOT(E34="")),E34,"")</f>
        <v/>
      </c>
      <c r="N34" s="288" t="str">
        <f t="shared" ref="N34:N65" si="6">IF(AND(OR(A34=38,A34=54,A34=5,A34=8),R34="U"),C34,"")</f>
        <v/>
      </c>
      <c r="O34" s="289">
        <f>IFERROR(IF(B34="E",(C34*0.05)+AD34,PMT(VLOOKUP(S34,Formulas!T:U,2,0)/12,J34,-C34)),0)</f>
        <v>0</v>
      </c>
      <c r="P34" s="202" t="str">
        <f>INPUT!B16</f>
        <v/>
      </c>
      <c r="Q34" s="202" t="str">
        <f t="shared" ref="Q34:Q65" si="7">IF(AND(OR(A34=38,A34=54,A34=5,A34=8),R34="S"),C34,"")</f>
        <v/>
      </c>
      <c r="R34" s="202" t="str">
        <f>INPUT!N16</f>
        <v/>
      </c>
      <c r="S34" s="202" t="str">
        <f t="shared" ref="S34:S65" si="8">A34&amp;"-"&amp;B34&amp;"-"&amp;R34</f>
        <v>--</v>
      </c>
      <c r="T34" s="202"/>
      <c r="U34" s="206" t="s">
        <v>194</v>
      </c>
      <c r="V34" s="202">
        <f>COUNT(A34:A65)</f>
        <v>0</v>
      </c>
      <c r="W34" s="202"/>
      <c r="X34" s="290">
        <v>0.0</v>
      </c>
      <c r="Y34" s="290">
        <v>6.0</v>
      </c>
      <c r="Z34" s="290" t="s">
        <v>195</v>
      </c>
      <c r="AA34" s="134"/>
      <c r="AB34" s="134"/>
      <c r="AC34" s="288">
        <f t="shared" ref="AC34:AC65" si="9">IF(AND(B34="E",R34="U",D34&gt;C34),D34,IF(AND(B34="E",R34="U",D34&lt;=C34),C34,IF(AND(B34="T",R34="U"),D34,IF(AND(B34="E",R34="S",D34&gt;C34),D34,IF(AND(B34="T",R34="S"),D34,0)))))</f>
        <v>0</v>
      </c>
      <c r="AD34" s="134">
        <f t="shared" ref="AD34:AD65" si="10">IF(B34&lt;&gt;"E",0,IF(D34-C34&lt;0,0,D34-C34))</f>
        <v>0</v>
      </c>
    </row>
    <row r="35" ht="15.75" customHeight="1">
      <c r="A35" s="281" t="str">
        <f>IF(INPUT!C17="","",INPUT!C17)</f>
        <v/>
      </c>
      <c r="B35" s="281" t="str">
        <f>IF(INPUT!D17="","",INPUT!D17)</f>
        <v/>
      </c>
      <c r="C35" s="282" t="str">
        <f>IF(INPUT!E17="","",INPUT!E17)</f>
        <v/>
      </c>
      <c r="D35" s="282" t="str">
        <f>IF(INPUT!G17="","",INPUT!G17)</f>
        <v/>
      </c>
      <c r="E35" s="283" t="str">
        <f>IF(INPUT!L17="","",INPUT!L17)</f>
        <v/>
      </c>
      <c r="F35" s="283" t="str">
        <f>IF(INPUT!M17="","",INPUT!M17)</f>
        <v/>
      </c>
      <c r="G35" s="281" t="str">
        <f>IF(H35="","",CONCATENATE(IF(INPUT!N17="","",INPUT!N17)," - ",TEXT(H35,"0,00")))</f>
        <v/>
      </c>
      <c r="H35" s="282" t="str">
        <f>IF(A35="","",IF(P35="y",INPUT!P17,O35))</f>
        <v/>
      </c>
      <c r="I35" s="284" t="str">
        <f>IFERROR(VLOOKUP(S35,Formulas!$T$2:$U$77,2,0),"")</f>
        <v/>
      </c>
      <c r="J35" s="285">
        <f t="shared" si="2"/>
        <v>0</v>
      </c>
      <c r="K35" s="286">
        <f t="shared" si="3"/>
        <v>0</v>
      </c>
      <c r="L35" s="287" t="str">
        <f t="shared" si="4"/>
        <v/>
      </c>
      <c r="M35" s="287" t="str">
        <f t="shared" si="5"/>
        <v/>
      </c>
      <c r="N35" s="288" t="str">
        <f t="shared" si="6"/>
        <v/>
      </c>
      <c r="O35" s="289">
        <f>IFERROR(IF(B35="E",(C35*0.05)+AD35,PMT(VLOOKUP(S35,Formulas!T:U,2,0)/12,J35,-C35)),0)</f>
        <v>0</v>
      </c>
      <c r="P35" s="202" t="str">
        <f>INPUT!B17</f>
        <v/>
      </c>
      <c r="Q35" s="202" t="str">
        <f t="shared" si="7"/>
        <v/>
      </c>
      <c r="R35" s="202" t="str">
        <f>INPUT!N17</f>
        <v/>
      </c>
      <c r="S35" s="202" t="str">
        <f t="shared" si="8"/>
        <v>--</v>
      </c>
      <c r="T35" s="202"/>
      <c r="U35" s="202"/>
      <c r="V35" s="202">
        <f>IF(V34&gt;6,"6+",V34)</f>
        <v>0</v>
      </c>
      <c r="W35" s="202"/>
      <c r="X35" s="290">
        <v>7.0</v>
      </c>
      <c r="Y35" s="290">
        <v>11.0</v>
      </c>
      <c r="Z35" s="290" t="s">
        <v>196</v>
      </c>
      <c r="AA35" s="134"/>
      <c r="AB35" s="134"/>
      <c r="AC35" s="288">
        <f t="shared" si="9"/>
        <v>0</v>
      </c>
      <c r="AD35" s="134">
        <f t="shared" si="10"/>
        <v>0</v>
      </c>
    </row>
    <row r="36" ht="15.75" customHeight="1">
      <c r="A36" s="281" t="str">
        <f>IF(INPUT!C18="","",INPUT!C18)</f>
        <v/>
      </c>
      <c r="B36" s="281" t="str">
        <f>IF(INPUT!D18="","",INPUT!D18)</f>
        <v/>
      </c>
      <c r="C36" s="282" t="str">
        <f>IF(INPUT!E18="","",INPUT!E18)</f>
        <v/>
      </c>
      <c r="D36" s="282" t="str">
        <f>IF(INPUT!G18="","",INPUT!G18)</f>
        <v/>
      </c>
      <c r="E36" s="283" t="str">
        <f>IF(INPUT!L18="","",INPUT!L18)</f>
        <v/>
      </c>
      <c r="F36" s="283" t="str">
        <f>IF(INPUT!M18="","",INPUT!M18)</f>
        <v/>
      </c>
      <c r="G36" s="281" t="str">
        <f>IF(H36="","",CONCATENATE(IF(INPUT!N18="","",INPUT!N18)," - ",TEXT(H36,"0,00")))</f>
        <v/>
      </c>
      <c r="H36" s="282" t="str">
        <f>IF(A36="","",IF(P36="y",INPUT!P18,O36))</f>
        <v/>
      </c>
      <c r="I36" s="284" t="str">
        <f>IFERROR(VLOOKUP(S36,Formulas!$T$2:$U$77,2,0),"")</f>
        <v/>
      </c>
      <c r="J36" s="285">
        <f t="shared" si="2"/>
        <v>0</v>
      </c>
      <c r="K36" s="286">
        <f t="shared" si="3"/>
        <v>0</v>
      </c>
      <c r="L36" s="287" t="str">
        <f t="shared" si="4"/>
        <v/>
      </c>
      <c r="M36" s="287" t="str">
        <f t="shared" si="5"/>
        <v/>
      </c>
      <c r="N36" s="288" t="str">
        <f t="shared" si="6"/>
        <v/>
      </c>
      <c r="O36" s="289">
        <f>IFERROR(IF(B36="E",(C36*0.05)+AD36,PMT(VLOOKUP(S36,Formulas!T:U,2,0)/12,J36,-C36)),0)</f>
        <v>0</v>
      </c>
      <c r="P36" s="202" t="str">
        <f>INPUT!B18</f>
        <v/>
      </c>
      <c r="Q36" s="202" t="str">
        <f t="shared" si="7"/>
        <v/>
      </c>
      <c r="R36" s="202" t="str">
        <f>INPUT!N18</f>
        <v/>
      </c>
      <c r="S36" s="202" t="str">
        <f t="shared" si="8"/>
        <v>--</v>
      </c>
      <c r="T36" s="202"/>
      <c r="U36" s="202"/>
      <c r="V36" s="291">
        <f>MAX(K34:K65)</f>
        <v>0</v>
      </c>
      <c r="W36" s="202"/>
      <c r="X36" s="290">
        <v>12.0</v>
      </c>
      <c r="Y36" s="290">
        <v>1000.0</v>
      </c>
      <c r="Z36" s="290" t="s">
        <v>197</v>
      </c>
      <c r="AA36" s="134"/>
      <c r="AB36" s="134"/>
      <c r="AC36" s="288">
        <f t="shared" si="9"/>
        <v>0</v>
      </c>
      <c r="AD36" s="134">
        <f t="shared" si="10"/>
        <v>0</v>
      </c>
    </row>
    <row r="37" ht="15.75" customHeight="1">
      <c r="A37" s="281" t="str">
        <f>IF(INPUT!C19="","",INPUT!C19)</f>
        <v/>
      </c>
      <c r="B37" s="281" t="str">
        <f>IF(INPUT!D19="","",INPUT!D19)</f>
        <v/>
      </c>
      <c r="C37" s="282" t="str">
        <f>IF(INPUT!E19="","",INPUT!E19)</f>
        <v/>
      </c>
      <c r="D37" s="282" t="str">
        <f>IF(INPUT!G19="","",INPUT!G19)</f>
        <v/>
      </c>
      <c r="E37" s="283" t="str">
        <f>IF(INPUT!L19="","",INPUT!L19)</f>
        <v/>
      </c>
      <c r="F37" s="283" t="str">
        <f>IF(INPUT!M19="","",INPUT!M19)</f>
        <v/>
      </c>
      <c r="G37" s="281" t="str">
        <f>IF(H37="","",CONCATENATE(IF(INPUT!N19="","",INPUT!N19)," - ",TEXT(H37,"0,00")))</f>
        <v/>
      </c>
      <c r="H37" s="282" t="str">
        <f>IF(A37="","",IF(P37="y",INPUT!P19,O37))</f>
        <v/>
      </c>
      <c r="I37" s="284" t="str">
        <f>IFERROR(VLOOKUP(S37,Formulas!$T$2:$U$77,2,0),"")</f>
        <v/>
      </c>
      <c r="J37" s="285">
        <f t="shared" si="2"/>
        <v>0</v>
      </c>
      <c r="K37" s="286">
        <f t="shared" si="3"/>
        <v>0</v>
      </c>
      <c r="L37" s="287" t="str">
        <f t="shared" si="4"/>
        <v/>
      </c>
      <c r="M37" s="287" t="str">
        <f t="shared" si="5"/>
        <v/>
      </c>
      <c r="N37" s="288" t="str">
        <f t="shared" si="6"/>
        <v/>
      </c>
      <c r="O37" s="289">
        <f>IFERROR(IF(B37="E",(C37*0.05)+AD37,PMT(VLOOKUP(S37,Formulas!T:U,2,0)/12,J37,-C37)),0)</f>
        <v>0</v>
      </c>
      <c r="P37" s="202" t="str">
        <f>INPUT!B19</f>
        <v/>
      </c>
      <c r="Q37" s="202" t="str">
        <f t="shared" si="7"/>
        <v/>
      </c>
      <c r="R37" s="202" t="str">
        <f>INPUT!N19</f>
        <v/>
      </c>
      <c r="S37" s="202" t="str">
        <f t="shared" si="8"/>
        <v>--</v>
      </c>
      <c r="T37" s="202"/>
      <c r="U37" s="202"/>
      <c r="V37" s="202" t="str">
        <f>LOOKUP(V36,$X$33:$Y$36,$Z$33:$Z$36)</f>
        <v>NTI</v>
      </c>
      <c r="W37" s="202"/>
      <c r="X37" s="134"/>
      <c r="Y37" s="134"/>
      <c r="Z37" s="134"/>
      <c r="AA37" s="134"/>
      <c r="AB37" s="134"/>
      <c r="AC37" s="288">
        <f t="shared" si="9"/>
        <v>0</v>
      </c>
      <c r="AD37" s="134">
        <f t="shared" si="10"/>
        <v>0</v>
      </c>
    </row>
    <row r="38" ht="15.75" customHeight="1">
      <c r="A38" s="281" t="str">
        <f>IF(INPUT!C20="","",INPUT!C20)</f>
        <v/>
      </c>
      <c r="B38" s="281" t="str">
        <f>IF(INPUT!D20="","",INPUT!D20)</f>
        <v/>
      </c>
      <c r="C38" s="282" t="str">
        <f>IF(INPUT!E20="","",INPUT!E20)</f>
        <v/>
      </c>
      <c r="D38" s="282" t="str">
        <f>IF(INPUT!G20="","",INPUT!G20)</f>
        <v/>
      </c>
      <c r="E38" s="283"/>
      <c r="F38" s="283" t="str">
        <f>IF(INPUT!M20="","",INPUT!M20)</f>
        <v/>
      </c>
      <c r="G38" s="281" t="str">
        <f>IF(H38="","",CONCATENATE(IF(INPUT!N20="","",INPUT!N20)," - ",TEXT(H38,"0,00")))</f>
        <v/>
      </c>
      <c r="H38" s="282" t="str">
        <f>IF(A38="","",IF(P38="y",INPUT!P20,O38))</f>
        <v/>
      </c>
      <c r="I38" s="284" t="str">
        <f>IFERROR(VLOOKUP(S38,Formulas!$T$2:$U$77,2,0),"")</f>
        <v/>
      </c>
      <c r="J38" s="285">
        <f t="shared" si="2"/>
        <v>0</v>
      </c>
      <c r="K38" s="286">
        <f t="shared" si="3"/>
        <v>0</v>
      </c>
      <c r="L38" s="287" t="str">
        <f t="shared" si="4"/>
        <v/>
      </c>
      <c r="M38" s="287" t="str">
        <f t="shared" si="5"/>
        <v/>
      </c>
      <c r="N38" s="288" t="str">
        <f t="shared" si="6"/>
        <v/>
      </c>
      <c r="O38" s="289">
        <f>IFERROR(IF(B38="E",(C38*0.05)+AD38,PMT(VLOOKUP(S38,Formulas!T:U,2,0)/12,J38,-C38)),0)</f>
        <v>0</v>
      </c>
      <c r="P38" s="202" t="str">
        <f>INPUT!B20</f>
        <v/>
      </c>
      <c r="Q38" s="202" t="str">
        <f t="shared" si="7"/>
        <v/>
      </c>
      <c r="R38" s="202" t="str">
        <f>INPUT!N20</f>
        <v/>
      </c>
      <c r="S38" s="202" t="str">
        <f t="shared" si="8"/>
        <v>--</v>
      </c>
      <c r="T38" s="202"/>
      <c r="U38" s="202"/>
      <c r="V38" s="202"/>
      <c r="W38" s="202"/>
      <c r="X38" s="134"/>
      <c r="Y38" s="134"/>
      <c r="Z38" s="134"/>
      <c r="AA38" s="134"/>
      <c r="AB38" s="134"/>
      <c r="AC38" s="288">
        <f t="shared" si="9"/>
        <v>0</v>
      </c>
      <c r="AD38" s="134">
        <f t="shared" si="10"/>
        <v>0</v>
      </c>
    </row>
    <row r="39" ht="15.75" customHeight="1">
      <c r="A39" s="281" t="str">
        <f>IF(INPUT!C21="","",INPUT!C21)</f>
        <v/>
      </c>
      <c r="B39" s="281" t="str">
        <f>IF(INPUT!D21="","",INPUT!D21)</f>
        <v/>
      </c>
      <c r="C39" s="282" t="str">
        <f>IF(INPUT!E21="","",INPUT!E21)</f>
        <v/>
      </c>
      <c r="D39" s="282" t="str">
        <f>IF(INPUT!G21="","",INPUT!G21)</f>
        <v/>
      </c>
      <c r="E39" s="283" t="str">
        <f>IF(INPUT!L21="","",INPUT!L21)</f>
        <v/>
      </c>
      <c r="F39" s="283" t="str">
        <f>IF(INPUT!M21="","",INPUT!M21)</f>
        <v/>
      </c>
      <c r="G39" s="281" t="str">
        <f>IF(H39="","",CONCATENATE(IF(INPUT!N21="","",INPUT!N21)," - ",TEXT(H39,"0,00")))</f>
        <v/>
      </c>
      <c r="H39" s="282" t="str">
        <f>IF(A39="","",IF(P39="y",INPUT!P21,O39))</f>
        <v/>
      </c>
      <c r="I39" s="284" t="str">
        <f>IFERROR(VLOOKUP(S39,Formulas!$T$2:$U$77,2,0),"")</f>
        <v/>
      </c>
      <c r="J39" s="285">
        <f t="shared" si="2"/>
        <v>0</v>
      </c>
      <c r="K39" s="286">
        <f t="shared" si="3"/>
        <v>0</v>
      </c>
      <c r="L39" s="287" t="str">
        <f t="shared" si="4"/>
        <v/>
      </c>
      <c r="M39" s="287" t="str">
        <f t="shared" si="5"/>
        <v/>
      </c>
      <c r="N39" s="288" t="str">
        <f t="shared" si="6"/>
        <v/>
      </c>
      <c r="O39" s="289">
        <f>IFERROR(IF(B39="E",(C39*0.05)+AD39,PMT(VLOOKUP(S39,Formulas!T:U,2,0)/12,J39,-C39)),0)</f>
        <v>0</v>
      </c>
      <c r="P39" s="202" t="str">
        <f>INPUT!B21</f>
        <v/>
      </c>
      <c r="Q39" s="202" t="str">
        <f t="shared" si="7"/>
        <v/>
      </c>
      <c r="R39" s="202" t="str">
        <f>INPUT!N21</f>
        <v/>
      </c>
      <c r="S39" s="202" t="str">
        <f t="shared" si="8"/>
        <v>--</v>
      </c>
      <c r="T39" s="202"/>
      <c r="U39" s="202"/>
      <c r="V39" s="202"/>
      <c r="W39" s="202"/>
      <c r="X39" s="134"/>
      <c r="Y39" s="134"/>
      <c r="Z39" s="134"/>
      <c r="AA39" s="134"/>
      <c r="AB39" s="134"/>
      <c r="AC39" s="288">
        <f t="shared" si="9"/>
        <v>0</v>
      </c>
      <c r="AD39" s="134">
        <f t="shared" si="10"/>
        <v>0</v>
      </c>
    </row>
    <row r="40" ht="15.75" customHeight="1">
      <c r="A40" s="281" t="str">
        <f>IF(INPUT!C22="","",INPUT!C22)</f>
        <v/>
      </c>
      <c r="B40" s="281" t="str">
        <f>IF(INPUT!D22="","",INPUT!D22)</f>
        <v/>
      </c>
      <c r="C40" s="282" t="str">
        <f>IF(INPUT!E22="","",INPUT!E22)</f>
        <v/>
      </c>
      <c r="D40" s="282" t="str">
        <f>IF(INPUT!G22="","",INPUT!G22)</f>
        <v/>
      </c>
      <c r="E40" s="283" t="str">
        <f>IF(INPUT!L22="","",INPUT!L22)</f>
        <v/>
      </c>
      <c r="F40" s="283" t="str">
        <f>IF(INPUT!M22="","",INPUT!M22)</f>
        <v/>
      </c>
      <c r="G40" s="281"/>
      <c r="H40" s="292"/>
      <c r="I40" s="284" t="str">
        <f>IFERROR(VLOOKUP(S40,Formulas!$T$2:$U$77,2,0),"")</f>
        <v/>
      </c>
      <c r="J40" s="285">
        <f t="shared" si="2"/>
        <v>0</v>
      </c>
      <c r="K40" s="286">
        <f t="shared" si="3"/>
        <v>0</v>
      </c>
      <c r="L40" s="287" t="str">
        <f t="shared" si="4"/>
        <v/>
      </c>
      <c r="M40" s="287" t="str">
        <f t="shared" si="5"/>
        <v/>
      </c>
      <c r="N40" s="288" t="str">
        <f t="shared" si="6"/>
        <v/>
      </c>
      <c r="O40" s="289">
        <f>IFERROR(IF(B40="E",(C40*0.05)+AD40,PMT(VLOOKUP(S40,Formulas!T:U,2,0)/12,J40,-C40)),0)</f>
        <v>0</v>
      </c>
      <c r="P40" s="202" t="str">
        <f>INPUT!B22</f>
        <v/>
      </c>
      <c r="Q40" s="202" t="str">
        <f t="shared" si="7"/>
        <v/>
      </c>
      <c r="R40" s="202" t="str">
        <f>INPUT!N22</f>
        <v/>
      </c>
      <c r="S40" s="202" t="str">
        <f t="shared" si="8"/>
        <v>--</v>
      </c>
      <c r="T40" s="202"/>
      <c r="U40" s="202"/>
      <c r="V40" s="202"/>
      <c r="W40" s="202"/>
      <c r="X40" s="134"/>
      <c r="Y40" s="134"/>
      <c r="Z40" s="134"/>
      <c r="AA40" s="134"/>
      <c r="AB40" s="134"/>
      <c r="AC40" s="288">
        <f t="shared" si="9"/>
        <v>0</v>
      </c>
      <c r="AD40" s="134">
        <f t="shared" si="10"/>
        <v>0</v>
      </c>
    </row>
    <row r="41" ht="15.75" customHeight="1">
      <c r="A41" s="281" t="str">
        <f>IF(INPUT!C23="","",INPUT!C23)</f>
        <v/>
      </c>
      <c r="B41" s="281" t="str">
        <f>IF(INPUT!D23="","",INPUT!D23)</f>
        <v/>
      </c>
      <c r="C41" s="282" t="str">
        <f>IF(INPUT!E23="","",INPUT!E23)</f>
        <v/>
      </c>
      <c r="D41" s="282" t="str">
        <f>IF(INPUT!G23="","",INPUT!G23)</f>
        <v/>
      </c>
      <c r="E41" s="283" t="str">
        <f>IF(INPUT!L23="","",INPUT!L23)</f>
        <v/>
      </c>
      <c r="F41" s="283" t="str">
        <f>IF(INPUT!M23="","",INPUT!M23)</f>
        <v/>
      </c>
      <c r="G41" s="281" t="str">
        <f>IF(H41="","",CONCATENATE(IF(INPUT!N23="","",INPUT!N23)," - ",TEXT(H41,"0,00")))</f>
        <v/>
      </c>
      <c r="H41" s="282" t="str">
        <f>IF(A41="","",IF(P41="y",INPUT!P23,O41))</f>
        <v/>
      </c>
      <c r="I41" s="284" t="str">
        <f>IFERROR(VLOOKUP(S41,Formulas!$T$2:$U$77,2,0),"")</f>
        <v/>
      </c>
      <c r="J41" s="285">
        <f t="shared" si="2"/>
        <v>0</v>
      </c>
      <c r="K41" s="286">
        <f t="shared" si="3"/>
        <v>0</v>
      </c>
      <c r="L41" s="287" t="str">
        <f t="shared" si="4"/>
        <v/>
      </c>
      <c r="M41" s="287" t="str">
        <f t="shared" si="5"/>
        <v/>
      </c>
      <c r="N41" s="288" t="str">
        <f t="shared" si="6"/>
        <v/>
      </c>
      <c r="O41" s="289">
        <f>IFERROR(IF(B41="E",(C41*0.05)+AD41,PMT(VLOOKUP(S41,Formulas!T:U,2,0)/12,J41,-C41)),0)</f>
        <v>0</v>
      </c>
      <c r="P41" s="202" t="str">
        <f>INPUT!B23</f>
        <v/>
      </c>
      <c r="Q41" s="202" t="str">
        <f t="shared" si="7"/>
        <v/>
      </c>
      <c r="R41" s="202" t="str">
        <f>INPUT!N23</f>
        <v/>
      </c>
      <c r="S41" s="202" t="str">
        <f t="shared" si="8"/>
        <v>--</v>
      </c>
      <c r="T41" s="202"/>
      <c r="U41" s="202"/>
      <c r="V41" s="202"/>
      <c r="W41" s="202"/>
      <c r="X41" s="134"/>
      <c r="Y41" s="134"/>
      <c r="Z41" s="134"/>
      <c r="AA41" s="134"/>
      <c r="AB41" s="134"/>
      <c r="AC41" s="288">
        <f t="shared" si="9"/>
        <v>0</v>
      </c>
      <c r="AD41" s="134">
        <f t="shared" si="10"/>
        <v>0</v>
      </c>
    </row>
    <row r="42" ht="15.75" customHeight="1">
      <c r="A42" s="281" t="str">
        <f>IF(INPUT!C24="","",INPUT!C24)</f>
        <v/>
      </c>
      <c r="B42" s="281" t="str">
        <f>IF(INPUT!D24="","",INPUT!D24)</f>
        <v/>
      </c>
      <c r="C42" s="282" t="str">
        <f>IF(INPUT!E24="","",INPUT!E24)</f>
        <v/>
      </c>
      <c r="D42" s="282" t="str">
        <f>IF(INPUT!G24="","",INPUT!G24)</f>
        <v/>
      </c>
      <c r="E42" s="283" t="str">
        <f>IF(INPUT!L24="","",INPUT!L24)</f>
        <v/>
      </c>
      <c r="F42" s="283" t="str">
        <f>IF(INPUT!M24="","",INPUT!M24)</f>
        <v/>
      </c>
      <c r="G42" s="281" t="str">
        <f>IF(H42="","",CONCATENATE(IF(INPUT!N24="","",INPUT!N24)," - ",TEXT(H42,"0,00")))</f>
        <v/>
      </c>
      <c r="H42" s="282" t="str">
        <f>IF(A42="","",IF(P42="y",INPUT!P24,O42))</f>
        <v/>
      </c>
      <c r="I42" s="284" t="str">
        <f>IFERROR(VLOOKUP(S42,Formulas!$T$2:$U$77,2,0),"")</f>
        <v/>
      </c>
      <c r="J42" s="285">
        <f t="shared" si="2"/>
        <v>0</v>
      </c>
      <c r="K42" s="286">
        <f t="shared" si="3"/>
        <v>0</v>
      </c>
      <c r="L42" s="287" t="str">
        <f t="shared" si="4"/>
        <v/>
      </c>
      <c r="M42" s="287" t="str">
        <f t="shared" si="5"/>
        <v/>
      </c>
      <c r="N42" s="288" t="str">
        <f t="shared" si="6"/>
        <v/>
      </c>
      <c r="O42" s="289">
        <f>IFERROR(IF(B42="E",(C42*0.05)+AD42,PMT(VLOOKUP(S42,Formulas!T:U,2,0)/12,J42,-C42)),0)</f>
        <v>0</v>
      </c>
      <c r="P42" s="202" t="str">
        <f>INPUT!B24</f>
        <v/>
      </c>
      <c r="Q42" s="202" t="str">
        <f t="shared" si="7"/>
        <v/>
      </c>
      <c r="R42" s="202" t="str">
        <f>INPUT!N24</f>
        <v/>
      </c>
      <c r="S42" s="202" t="str">
        <f t="shared" si="8"/>
        <v>--</v>
      </c>
      <c r="T42" s="202"/>
      <c r="U42" s="202"/>
      <c r="V42" s="202"/>
      <c r="W42" s="202"/>
      <c r="X42" s="134"/>
      <c r="Y42" s="134"/>
      <c r="Z42" s="134"/>
      <c r="AA42" s="134"/>
      <c r="AB42" s="134"/>
      <c r="AC42" s="288">
        <f t="shared" si="9"/>
        <v>0</v>
      </c>
      <c r="AD42" s="134">
        <f t="shared" si="10"/>
        <v>0</v>
      </c>
    </row>
    <row r="43" ht="15.75" customHeight="1">
      <c r="A43" s="281" t="str">
        <f>IF(INPUT!C25="","",INPUT!C25)</f>
        <v/>
      </c>
      <c r="B43" s="281" t="str">
        <f>IF(INPUT!D25="","",INPUT!D25)</f>
        <v/>
      </c>
      <c r="C43" s="282" t="str">
        <f>IF(INPUT!E25="","",INPUT!E25)</f>
        <v/>
      </c>
      <c r="D43" s="282" t="str">
        <f>IF(INPUT!G25="","",INPUT!G25)</f>
        <v/>
      </c>
      <c r="E43" s="283" t="str">
        <f>IF(INPUT!L25="","",INPUT!L25)</f>
        <v/>
      </c>
      <c r="F43" s="283" t="str">
        <f>IF(INPUT!M25="","",INPUT!M25)</f>
        <v/>
      </c>
      <c r="G43" s="281" t="str">
        <f>IF(H43="","",CONCATENATE(IF(INPUT!N25="","",INPUT!N25)," - ",TEXT(H43,"0,00")))</f>
        <v/>
      </c>
      <c r="H43" s="282" t="str">
        <f>IF(A43="","",IF(P43="y",INPUT!P25,O43))</f>
        <v/>
      </c>
      <c r="I43" s="284" t="str">
        <f>IFERROR(VLOOKUP(S43,Formulas!$T$2:$U$77,2,0),"")</f>
        <v/>
      </c>
      <c r="J43" s="285">
        <f t="shared" si="2"/>
        <v>0</v>
      </c>
      <c r="K43" s="286">
        <f t="shared" si="3"/>
        <v>0</v>
      </c>
      <c r="L43" s="287" t="str">
        <f t="shared" si="4"/>
        <v/>
      </c>
      <c r="M43" s="287" t="str">
        <f t="shared" si="5"/>
        <v/>
      </c>
      <c r="N43" s="288" t="str">
        <f t="shared" si="6"/>
        <v/>
      </c>
      <c r="O43" s="289">
        <f>IFERROR(IF(B43="E",(C43*0.05)+AD43,PMT(VLOOKUP(S43,Formulas!T:U,2,0)/12,J43,-C43)),0)</f>
        <v>0</v>
      </c>
      <c r="P43" s="202" t="str">
        <f>INPUT!B25</f>
        <v/>
      </c>
      <c r="Q43" s="202" t="str">
        <f t="shared" si="7"/>
        <v/>
      </c>
      <c r="R43" s="202" t="str">
        <f>INPUT!N25</f>
        <v/>
      </c>
      <c r="S43" s="202" t="str">
        <f t="shared" si="8"/>
        <v>--</v>
      </c>
      <c r="T43" s="202"/>
      <c r="U43" s="202"/>
      <c r="V43" s="202"/>
      <c r="W43" s="202"/>
      <c r="X43" s="134"/>
      <c r="Y43" s="134"/>
      <c r="Z43" s="134"/>
      <c r="AA43" s="134"/>
      <c r="AB43" s="134"/>
      <c r="AC43" s="288">
        <f t="shared" si="9"/>
        <v>0</v>
      </c>
      <c r="AD43" s="134">
        <f t="shared" si="10"/>
        <v>0</v>
      </c>
    </row>
    <row r="44" ht="15.75" customHeight="1">
      <c r="A44" s="281" t="str">
        <f>IF(INPUT!C26="","",INPUT!C26)</f>
        <v/>
      </c>
      <c r="B44" s="281" t="str">
        <f>IF(INPUT!D26="","",INPUT!D26)</f>
        <v/>
      </c>
      <c r="C44" s="282" t="str">
        <f>IF(INPUT!E26="","",INPUT!E26)</f>
        <v/>
      </c>
      <c r="D44" s="282" t="str">
        <f>IF(INPUT!G26="","",INPUT!G26)</f>
        <v/>
      </c>
      <c r="E44" s="283" t="str">
        <f>IF(INPUT!L26="","",INPUT!L26)</f>
        <v/>
      </c>
      <c r="F44" s="283" t="str">
        <f>IF(INPUT!M26="","",INPUT!M26)</f>
        <v/>
      </c>
      <c r="G44" s="281" t="str">
        <f>IF(H44="","",CONCATENATE(IF(INPUT!N26="","",INPUT!N26)," - ",TEXT(H44,"0,00")))</f>
        <v/>
      </c>
      <c r="H44" s="282" t="str">
        <f>IF(A44="","",IF(P44="y",INPUT!P26,O44))</f>
        <v/>
      </c>
      <c r="I44" s="284" t="str">
        <f>IFERROR(VLOOKUP(S44,Formulas!$T$2:$U$77,2,0),"")</f>
        <v/>
      </c>
      <c r="J44" s="285">
        <f t="shared" si="2"/>
        <v>0</v>
      </c>
      <c r="K44" s="286">
        <f t="shared" si="3"/>
        <v>0</v>
      </c>
      <c r="L44" s="287" t="str">
        <f t="shared" si="4"/>
        <v/>
      </c>
      <c r="M44" s="287" t="str">
        <f t="shared" si="5"/>
        <v/>
      </c>
      <c r="N44" s="288" t="str">
        <f t="shared" si="6"/>
        <v/>
      </c>
      <c r="O44" s="289">
        <f>IFERROR(IF(B44="E",(C44*0.05)+AD44,PMT(VLOOKUP(S44,Formulas!T:U,2,0)/12,J44,-C44)),0)</f>
        <v>0</v>
      </c>
      <c r="P44" s="202" t="str">
        <f>INPUT!B26</f>
        <v/>
      </c>
      <c r="Q44" s="202" t="str">
        <f t="shared" si="7"/>
        <v/>
      </c>
      <c r="R44" s="202" t="str">
        <f>INPUT!N26</f>
        <v/>
      </c>
      <c r="S44" s="202" t="str">
        <f t="shared" si="8"/>
        <v>--</v>
      </c>
      <c r="T44" s="202"/>
      <c r="U44" s="202"/>
      <c r="V44" s="202"/>
      <c r="W44" s="202"/>
      <c r="X44" s="134"/>
      <c r="Y44" s="134"/>
      <c r="Z44" s="134"/>
      <c r="AA44" s="134"/>
      <c r="AB44" s="134"/>
      <c r="AC44" s="288">
        <f t="shared" si="9"/>
        <v>0</v>
      </c>
      <c r="AD44" s="134">
        <f t="shared" si="10"/>
        <v>0</v>
      </c>
    </row>
    <row r="45" ht="15.75" customHeight="1">
      <c r="A45" s="281" t="str">
        <f>IF(INPUT!C27="","",INPUT!C27)</f>
        <v/>
      </c>
      <c r="B45" s="281" t="str">
        <f>IF(INPUT!D27="","",INPUT!D27)</f>
        <v/>
      </c>
      <c r="C45" s="282" t="str">
        <f>IF(INPUT!E27="","",INPUT!E27)</f>
        <v/>
      </c>
      <c r="D45" s="282" t="str">
        <f>IF(INPUT!G27="","",INPUT!G27)</f>
        <v/>
      </c>
      <c r="E45" s="283" t="str">
        <f>IF(INPUT!L27="","",INPUT!L27)</f>
        <v/>
      </c>
      <c r="F45" s="283" t="str">
        <f>IF(INPUT!M27="","",INPUT!M27)</f>
        <v/>
      </c>
      <c r="G45" s="281" t="str">
        <f>IF(H45="","",CONCATENATE(IF(INPUT!N27="","",INPUT!N27)," - ",TEXT(H45,"0,00")))</f>
        <v/>
      </c>
      <c r="H45" s="282" t="str">
        <f>IF(A45="","",IF(P45="y",INPUT!P27,O45))</f>
        <v/>
      </c>
      <c r="I45" s="284" t="str">
        <f>IFERROR(VLOOKUP(S45,Formulas!$T$2:$U$77,2,0),"")</f>
        <v/>
      </c>
      <c r="J45" s="285">
        <f t="shared" si="2"/>
        <v>0</v>
      </c>
      <c r="K45" s="286">
        <f t="shared" si="3"/>
        <v>0</v>
      </c>
      <c r="L45" s="287" t="str">
        <f t="shared" si="4"/>
        <v/>
      </c>
      <c r="M45" s="287" t="str">
        <f t="shared" si="5"/>
        <v/>
      </c>
      <c r="N45" s="288" t="str">
        <f t="shared" si="6"/>
        <v/>
      </c>
      <c r="O45" s="289">
        <f>IFERROR(IF(B45="E",(C45*0.05)+AD45,PMT(VLOOKUP(S45,Formulas!T:U,2,0)/12,J45,-C45)),0)</f>
        <v>0</v>
      </c>
      <c r="P45" s="202" t="str">
        <f>INPUT!B27</f>
        <v/>
      </c>
      <c r="Q45" s="202" t="str">
        <f t="shared" si="7"/>
        <v/>
      </c>
      <c r="R45" s="202" t="str">
        <f>INPUT!N27</f>
        <v/>
      </c>
      <c r="S45" s="202" t="str">
        <f t="shared" si="8"/>
        <v>--</v>
      </c>
      <c r="T45" s="202"/>
      <c r="U45" s="202"/>
      <c r="V45" s="202"/>
      <c r="W45" s="202"/>
      <c r="X45" s="134"/>
      <c r="Y45" s="134"/>
      <c r="Z45" s="134"/>
      <c r="AA45" s="134"/>
      <c r="AB45" s="134"/>
      <c r="AC45" s="288">
        <f t="shared" si="9"/>
        <v>0</v>
      </c>
      <c r="AD45" s="134">
        <f t="shared" si="10"/>
        <v>0</v>
      </c>
    </row>
    <row r="46" ht="15.75" customHeight="1">
      <c r="A46" s="281" t="str">
        <f>IF(INPUT!C28="","",INPUT!C28)</f>
        <v/>
      </c>
      <c r="B46" s="281" t="str">
        <f>IF(INPUT!D28="","",INPUT!D28)</f>
        <v/>
      </c>
      <c r="C46" s="282" t="str">
        <f>IF(INPUT!E28="","",INPUT!E28)</f>
        <v/>
      </c>
      <c r="D46" s="282" t="str">
        <f>IF(INPUT!G28="","",INPUT!G28)</f>
        <v/>
      </c>
      <c r="E46" s="283" t="str">
        <f>IF(INPUT!L28="","",INPUT!L28)</f>
        <v/>
      </c>
      <c r="F46" s="283" t="str">
        <f>IF(INPUT!M28="","",INPUT!M28)</f>
        <v/>
      </c>
      <c r="G46" s="281" t="str">
        <f>IF(H46="","",CONCATENATE(IF(INPUT!N28="","",INPUT!N28)," - ",TEXT(H46,"0,00")))</f>
        <v/>
      </c>
      <c r="H46" s="282" t="str">
        <f>IF(A46="","",IF(P46="y",INPUT!P28,O46))</f>
        <v/>
      </c>
      <c r="I46" s="284" t="str">
        <f>IFERROR(VLOOKUP(S46,Formulas!$T$2:$U$77,2,0),"")</f>
        <v/>
      </c>
      <c r="J46" s="285">
        <f t="shared" si="2"/>
        <v>0</v>
      </c>
      <c r="K46" s="286">
        <f t="shared" si="3"/>
        <v>0</v>
      </c>
      <c r="L46" s="287" t="str">
        <f t="shared" si="4"/>
        <v/>
      </c>
      <c r="M46" s="287" t="str">
        <f t="shared" si="5"/>
        <v/>
      </c>
      <c r="N46" s="288" t="str">
        <f t="shared" si="6"/>
        <v/>
      </c>
      <c r="O46" s="289">
        <f>IFERROR(IF(B46="E",(C46*0.05)+AD46,PMT(VLOOKUP(S46,Formulas!T:U,2,0)/12,J46,-C46)),0)</f>
        <v>0</v>
      </c>
      <c r="P46" s="202" t="str">
        <f>INPUT!B28</f>
        <v/>
      </c>
      <c r="Q46" s="202" t="str">
        <f t="shared" si="7"/>
        <v/>
      </c>
      <c r="R46" s="202" t="str">
        <f>INPUT!N28</f>
        <v/>
      </c>
      <c r="S46" s="202" t="str">
        <f t="shared" si="8"/>
        <v>--</v>
      </c>
      <c r="T46" s="134"/>
      <c r="U46" s="134"/>
      <c r="V46" s="134"/>
      <c r="W46" s="134"/>
      <c r="X46" s="134"/>
      <c r="Y46" s="134"/>
      <c r="Z46" s="134"/>
      <c r="AA46" s="134"/>
      <c r="AB46" s="134"/>
      <c r="AC46" s="288">
        <f t="shared" si="9"/>
        <v>0</v>
      </c>
      <c r="AD46" s="134">
        <f t="shared" si="10"/>
        <v>0</v>
      </c>
    </row>
    <row r="47" ht="15.75" customHeight="1">
      <c r="A47" s="281" t="str">
        <f>IF(INPUT!C29="","",INPUT!C29)</f>
        <v/>
      </c>
      <c r="B47" s="281" t="str">
        <f>IF(INPUT!D29="","",INPUT!D29)</f>
        <v/>
      </c>
      <c r="C47" s="282" t="str">
        <f>IF(INPUT!E29="","",INPUT!E29)</f>
        <v/>
      </c>
      <c r="D47" s="282" t="str">
        <f>IF(INPUT!G29="","",INPUT!G29)</f>
        <v/>
      </c>
      <c r="E47" s="283" t="str">
        <f>IF(INPUT!L29="","",INPUT!L29)</f>
        <v/>
      </c>
      <c r="F47" s="283" t="str">
        <f>IF(INPUT!M29="","",INPUT!M29)</f>
        <v/>
      </c>
      <c r="G47" s="281" t="str">
        <f>IF(H47="","",CONCATENATE(IF(INPUT!N29="","",INPUT!N29)," - ",TEXT(H47,"0,00")))</f>
        <v/>
      </c>
      <c r="H47" s="282" t="str">
        <f>IF(A47="","",IF(P47="y",INPUT!P29,O47))</f>
        <v/>
      </c>
      <c r="I47" s="284" t="str">
        <f>IFERROR(VLOOKUP(S47,Formulas!$T$2:$U$77,2,0),"")</f>
        <v/>
      </c>
      <c r="J47" s="285">
        <f t="shared" si="2"/>
        <v>0</v>
      </c>
      <c r="K47" s="286">
        <f t="shared" si="3"/>
        <v>0</v>
      </c>
      <c r="L47" s="287" t="str">
        <f t="shared" si="4"/>
        <v/>
      </c>
      <c r="M47" s="287" t="str">
        <f t="shared" si="5"/>
        <v/>
      </c>
      <c r="N47" s="288" t="str">
        <f t="shared" si="6"/>
        <v/>
      </c>
      <c r="O47" s="289">
        <f>IFERROR(IF(B47="E",(C47*0.05)+AD47,PMT(VLOOKUP(S47,Formulas!T:U,2,0)/12,J47,-C47)),0)</f>
        <v>0</v>
      </c>
      <c r="P47" s="202" t="str">
        <f>INPUT!B29</f>
        <v/>
      </c>
      <c r="Q47" s="202" t="str">
        <f t="shared" si="7"/>
        <v/>
      </c>
      <c r="R47" s="202" t="str">
        <f>INPUT!N29</f>
        <v/>
      </c>
      <c r="S47" s="202" t="str">
        <f t="shared" si="8"/>
        <v>--</v>
      </c>
      <c r="T47" s="134"/>
      <c r="U47" s="134"/>
      <c r="V47" s="134"/>
      <c r="W47" s="134"/>
      <c r="X47" s="134"/>
      <c r="Y47" s="134"/>
      <c r="Z47" s="134"/>
      <c r="AA47" s="134"/>
      <c r="AB47" s="134"/>
      <c r="AC47" s="288">
        <f t="shared" si="9"/>
        <v>0</v>
      </c>
      <c r="AD47" s="134">
        <f t="shared" si="10"/>
        <v>0</v>
      </c>
    </row>
    <row r="48" ht="15.75" customHeight="1">
      <c r="A48" s="281" t="str">
        <f>IF(INPUT!C30="","",INPUT!C30)</f>
        <v/>
      </c>
      <c r="B48" s="281" t="str">
        <f>IF(INPUT!D30="","",INPUT!D30)</f>
        <v/>
      </c>
      <c r="C48" s="282" t="str">
        <f>IF(INPUT!E30="","",INPUT!E30)</f>
        <v/>
      </c>
      <c r="D48" s="282" t="str">
        <f>IF(INPUT!G30="","",INPUT!G30)</f>
        <v/>
      </c>
      <c r="E48" s="283" t="str">
        <f>IF(INPUT!L30="","",INPUT!L30)</f>
        <v/>
      </c>
      <c r="F48" s="283" t="str">
        <f>IF(INPUT!M30="","",INPUT!M30)</f>
        <v/>
      </c>
      <c r="G48" s="281" t="str">
        <f>IF(H48="","",CONCATENATE(IF(INPUT!N30="","",INPUT!N30)," - ",TEXT(H48,"0,00")))</f>
        <v/>
      </c>
      <c r="H48" s="282" t="str">
        <f>IF(A48="","",IF(P48="y",INPUT!P30,O48))</f>
        <v/>
      </c>
      <c r="I48" s="284" t="str">
        <f>IFERROR(VLOOKUP(S48,Formulas!$T$2:$U$77,2,0),"")</f>
        <v/>
      </c>
      <c r="J48" s="285">
        <f t="shared" si="2"/>
        <v>0</v>
      </c>
      <c r="K48" s="286">
        <f t="shared" si="3"/>
        <v>0</v>
      </c>
      <c r="L48" s="287" t="str">
        <f t="shared" si="4"/>
        <v/>
      </c>
      <c r="M48" s="287" t="str">
        <f t="shared" si="5"/>
        <v/>
      </c>
      <c r="N48" s="288" t="str">
        <f t="shared" si="6"/>
        <v/>
      </c>
      <c r="O48" s="289">
        <f>IFERROR(IF(B48="E",(C48*0.05)+AD48,PMT(VLOOKUP(S48,Formulas!T:U,2,0)/12,J48,-C48)),0)</f>
        <v>0</v>
      </c>
      <c r="P48" s="202" t="str">
        <f>INPUT!B30</f>
        <v/>
      </c>
      <c r="Q48" s="202" t="str">
        <f t="shared" si="7"/>
        <v/>
      </c>
      <c r="R48" s="202" t="str">
        <f>INPUT!N30</f>
        <v/>
      </c>
      <c r="S48" s="202" t="str">
        <f t="shared" si="8"/>
        <v>--</v>
      </c>
      <c r="T48" s="134"/>
      <c r="U48" s="134"/>
      <c r="V48" s="134"/>
      <c r="W48" s="134"/>
      <c r="X48" s="134"/>
      <c r="Y48" s="134"/>
      <c r="Z48" s="134"/>
      <c r="AA48" s="134"/>
      <c r="AB48" s="134"/>
      <c r="AC48" s="288">
        <f t="shared" si="9"/>
        <v>0</v>
      </c>
      <c r="AD48" s="134">
        <f t="shared" si="10"/>
        <v>0</v>
      </c>
    </row>
    <row r="49" ht="15.75" customHeight="1">
      <c r="A49" s="281" t="str">
        <f>IF(INPUT!C31="","",INPUT!C31)</f>
        <v/>
      </c>
      <c r="B49" s="281" t="str">
        <f>IF(INPUT!D31="","",INPUT!D31)</f>
        <v/>
      </c>
      <c r="C49" s="282" t="str">
        <f>IF(INPUT!E31="","",INPUT!E31)</f>
        <v/>
      </c>
      <c r="D49" s="282" t="str">
        <f>IF(INPUT!G31="","",INPUT!G31)</f>
        <v/>
      </c>
      <c r="E49" s="283" t="str">
        <f>IF(INPUT!L31="","",INPUT!L31)</f>
        <v/>
      </c>
      <c r="F49" s="283" t="str">
        <f>IF(INPUT!M31="","",INPUT!M31)</f>
        <v/>
      </c>
      <c r="G49" s="281" t="str">
        <f>IF(H49="","",CONCATENATE(IF(INPUT!N31="","",INPUT!N31)," - ",TEXT(H49,"0,00")))</f>
        <v/>
      </c>
      <c r="H49" s="282" t="str">
        <f>IF(A49="","",IF(P49="y",INPUT!P31,O49))</f>
        <v/>
      </c>
      <c r="I49" s="284" t="str">
        <f>IFERROR(VLOOKUP(S49,Formulas!$T$2:$U$77,2,0),"")</f>
        <v/>
      </c>
      <c r="J49" s="285">
        <f t="shared" si="2"/>
        <v>0</v>
      </c>
      <c r="K49" s="286">
        <f t="shared" si="3"/>
        <v>0</v>
      </c>
      <c r="L49" s="287" t="str">
        <f t="shared" si="4"/>
        <v/>
      </c>
      <c r="M49" s="287" t="str">
        <f t="shared" si="5"/>
        <v/>
      </c>
      <c r="N49" s="288" t="str">
        <f t="shared" si="6"/>
        <v/>
      </c>
      <c r="O49" s="289">
        <f>IFERROR(IF(B49="E",(C49*0.05)+AD49,PMT(VLOOKUP(S49,Formulas!T:U,2,0)/12,J49,-C49)),0)</f>
        <v>0</v>
      </c>
      <c r="P49" s="202" t="str">
        <f>INPUT!B31</f>
        <v/>
      </c>
      <c r="Q49" s="202" t="str">
        <f t="shared" si="7"/>
        <v/>
      </c>
      <c r="R49" s="202" t="str">
        <f>INPUT!N31</f>
        <v/>
      </c>
      <c r="S49" s="202" t="str">
        <f t="shared" si="8"/>
        <v>--</v>
      </c>
      <c r="T49" s="134"/>
      <c r="U49" s="134"/>
      <c r="V49" s="134"/>
      <c r="W49" s="134"/>
      <c r="X49" s="134"/>
      <c r="Y49" s="134"/>
      <c r="Z49" s="134"/>
      <c r="AA49" s="134"/>
      <c r="AB49" s="134"/>
      <c r="AC49" s="288">
        <f t="shared" si="9"/>
        <v>0</v>
      </c>
      <c r="AD49" s="134">
        <f t="shared" si="10"/>
        <v>0</v>
      </c>
    </row>
    <row r="50" ht="15.75" customHeight="1">
      <c r="A50" s="281" t="str">
        <f>IF(INPUT!C32="","",INPUT!C32)</f>
        <v/>
      </c>
      <c r="B50" s="281" t="str">
        <f>IF(INPUT!D32="","",INPUT!D32)</f>
        <v/>
      </c>
      <c r="C50" s="282" t="str">
        <f>IF(INPUT!E32="","",INPUT!E32)</f>
        <v/>
      </c>
      <c r="D50" s="282" t="str">
        <f>IF(INPUT!G32="","",INPUT!G32)</f>
        <v/>
      </c>
      <c r="E50" s="283" t="str">
        <f>IF(INPUT!L32="","",INPUT!L32)</f>
        <v/>
      </c>
      <c r="F50" s="283" t="str">
        <f>IF(INPUT!M32="","",INPUT!M32)</f>
        <v/>
      </c>
      <c r="G50" s="281" t="str">
        <f>IF(H50="","",CONCATENATE(IF(INPUT!N32="","",INPUT!N32)," - ",TEXT(H50,"0,00")))</f>
        <v/>
      </c>
      <c r="H50" s="282" t="str">
        <f>IF(A50="","",IF(P50="y",INPUT!P32,O50))</f>
        <v/>
      </c>
      <c r="I50" s="284" t="str">
        <f>IFERROR(VLOOKUP(S50,Formulas!$T$2:$U$77,2,0),"")</f>
        <v/>
      </c>
      <c r="J50" s="285">
        <f t="shared" si="2"/>
        <v>0</v>
      </c>
      <c r="K50" s="286">
        <f t="shared" si="3"/>
        <v>0</v>
      </c>
      <c r="L50" s="287" t="str">
        <f t="shared" si="4"/>
        <v/>
      </c>
      <c r="M50" s="287" t="str">
        <f t="shared" si="5"/>
        <v/>
      </c>
      <c r="N50" s="288" t="str">
        <f t="shared" si="6"/>
        <v/>
      </c>
      <c r="O50" s="289">
        <f>IFERROR(IF(B50="E",(C50*0.05)+AD50,PMT(VLOOKUP(S50,Formulas!T:U,2,0)/12,J50,-C50)),0)</f>
        <v>0</v>
      </c>
      <c r="P50" s="202" t="str">
        <f>INPUT!B32</f>
        <v/>
      </c>
      <c r="Q50" s="202" t="str">
        <f t="shared" si="7"/>
        <v/>
      </c>
      <c r="R50" s="202" t="str">
        <f>INPUT!N32</f>
        <v/>
      </c>
      <c r="S50" s="202" t="str">
        <f t="shared" si="8"/>
        <v>--</v>
      </c>
      <c r="T50" s="134"/>
      <c r="U50" s="134"/>
      <c r="V50" s="134"/>
      <c r="W50" s="134"/>
      <c r="X50" s="134"/>
      <c r="Y50" s="134"/>
      <c r="Z50" s="134"/>
      <c r="AA50" s="134"/>
      <c r="AB50" s="134"/>
      <c r="AC50" s="288">
        <f t="shared" si="9"/>
        <v>0</v>
      </c>
      <c r="AD50" s="134">
        <f t="shared" si="10"/>
        <v>0</v>
      </c>
    </row>
    <row r="51" ht="15.75" customHeight="1">
      <c r="A51" s="281" t="str">
        <f>IF(INPUT!C33="","",INPUT!C33)</f>
        <v/>
      </c>
      <c r="B51" s="281" t="str">
        <f>IF(INPUT!D33="","",INPUT!D33)</f>
        <v/>
      </c>
      <c r="C51" s="282" t="str">
        <f>IF(INPUT!E33="","",INPUT!E33)</f>
        <v/>
      </c>
      <c r="D51" s="282" t="str">
        <f>IF(INPUT!G33="","",INPUT!G33)</f>
        <v/>
      </c>
      <c r="E51" s="283" t="str">
        <f>IF(INPUT!L33="","",INPUT!L33)</f>
        <v/>
      </c>
      <c r="F51" s="283" t="str">
        <f>IF(INPUT!M33="","",INPUT!M33)</f>
        <v/>
      </c>
      <c r="G51" s="281" t="str">
        <f>IF(H51="","",CONCATENATE(IF(INPUT!N33="","",INPUT!N33)," - ",TEXT(H51,"0,00")))</f>
        <v/>
      </c>
      <c r="H51" s="282" t="str">
        <f>IF(A51="","",IF(P51="y",INPUT!P33,O51))</f>
        <v/>
      </c>
      <c r="I51" s="284" t="str">
        <f>IFERROR(VLOOKUP(S51,Formulas!$T$2:$U$77,2,0),"")</f>
        <v/>
      </c>
      <c r="J51" s="285">
        <f t="shared" si="2"/>
        <v>0</v>
      </c>
      <c r="K51" s="286">
        <f t="shared" si="3"/>
        <v>0</v>
      </c>
      <c r="L51" s="287" t="str">
        <f t="shared" si="4"/>
        <v/>
      </c>
      <c r="M51" s="287" t="str">
        <f t="shared" si="5"/>
        <v/>
      </c>
      <c r="N51" s="288" t="str">
        <f t="shared" si="6"/>
        <v/>
      </c>
      <c r="O51" s="289">
        <f>IFERROR(IF(B51="E",(C51*0.05)+AD51,PMT(VLOOKUP(S51,Formulas!T:U,2,0)/12,J51,-C51)),0)</f>
        <v>0</v>
      </c>
      <c r="P51" s="202" t="str">
        <f>INPUT!B33</f>
        <v/>
      </c>
      <c r="Q51" s="202" t="str">
        <f t="shared" si="7"/>
        <v/>
      </c>
      <c r="R51" s="202" t="str">
        <f>INPUT!N33</f>
        <v/>
      </c>
      <c r="S51" s="202" t="str">
        <f t="shared" si="8"/>
        <v>--</v>
      </c>
      <c r="T51" s="134"/>
      <c r="U51" s="134"/>
      <c r="V51" s="134"/>
      <c r="W51" s="134"/>
      <c r="X51" s="134"/>
      <c r="Y51" s="134"/>
      <c r="Z51" s="134"/>
      <c r="AA51" s="134"/>
      <c r="AB51" s="134"/>
      <c r="AC51" s="288">
        <f t="shared" si="9"/>
        <v>0</v>
      </c>
      <c r="AD51" s="134">
        <f t="shared" si="10"/>
        <v>0</v>
      </c>
    </row>
    <row r="52" ht="15.75" customHeight="1">
      <c r="A52" s="281" t="str">
        <f>IF(INPUT!C34="","",INPUT!C34)</f>
        <v/>
      </c>
      <c r="B52" s="281" t="str">
        <f>IF(INPUT!D34="","",INPUT!D34)</f>
        <v/>
      </c>
      <c r="C52" s="282" t="str">
        <f>IF(INPUT!E34="","",INPUT!E34)</f>
        <v/>
      </c>
      <c r="D52" s="282" t="str">
        <f>IF(INPUT!G34="","",INPUT!G34)</f>
        <v/>
      </c>
      <c r="E52" s="283" t="str">
        <f>IF(INPUT!L34="","",INPUT!L34)</f>
        <v/>
      </c>
      <c r="F52" s="283" t="str">
        <f>IF(INPUT!M34="","",INPUT!M34)</f>
        <v/>
      </c>
      <c r="G52" s="281" t="str">
        <f>IF(H52="","",CONCATENATE(IF(INPUT!N34="","",INPUT!N34)," - ",TEXT(H52,"0,00")))</f>
        <v/>
      </c>
      <c r="H52" s="282" t="str">
        <f>IF(A52="","",IF(P52="y",INPUT!P34,O52))</f>
        <v/>
      </c>
      <c r="I52" s="284" t="str">
        <f>IFERROR(VLOOKUP(S52,Formulas!$T$2:$U$77,2,0),"")</f>
        <v/>
      </c>
      <c r="J52" s="285">
        <f t="shared" si="2"/>
        <v>0</v>
      </c>
      <c r="K52" s="286">
        <f t="shared" si="3"/>
        <v>0</v>
      </c>
      <c r="L52" s="287" t="str">
        <f t="shared" si="4"/>
        <v/>
      </c>
      <c r="M52" s="287" t="str">
        <f t="shared" si="5"/>
        <v/>
      </c>
      <c r="N52" s="288" t="str">
        <f t="shared" si="6"/>
        <v/>
      </c>
      <c r="O52" s="289">
        <f>IFERROR(IF(B52="E",(C52*0.05)+AD52,PMT(VLOOKUP(S52,Formulas!T:U,2,0)/12,J52,-C52)),0)</f>
        <v>0</v>
      </c>
      <c r="P52" s="202" t="str">
        <f>INPUT!B34</f>
        <v/>
      </c>
      <c r="Q52" s="202" t="str">
        <f t="shared" si="7"/>
        <v/>
      </c>
      <c r="R52" s="202" t="str">
        <f>INPUT!N34</f>
        <v/>
      </c>
      <c r="S52" s="202" t="str">
        <f t="shared" si="8"/>
        <v>--</v>
      </c>
      <c r="T52" s="134"/>
      <c r="U52" s="134"/>
      <c r="V52" s="134"/>
      <c r="W52" s="134"/>
      <c r="X52" s="134"/>
      <c r="Y52" s="134"/>
      <c r="Z52" s="134"/>
      <c r="AA52" s="134"/>
      <c r="AB52" s="134"/>
      <c r="AC52" s="288">
        <f t="shared" si="9"/>
        <v>0</v>
      </c>
      <c r="AD52" s="134">
        <f t="shared" si="10"/>
        <v>0</v>
      </c>
    </row>
    <row r="53" ht="15.75" customHeight="1">
      <c r="A53" s="281" t="str">
        <f>IF(INPUT!C35="","",INPUT!C35)</f>
        <v/>
      </c>
      <c r="B53" s="281" t="str">
        <f>IF(INPUT!D35="","",INPUT!D35)</f>
        <v/>
      </c>
      <c r="C53" s="282" t="str">
        <f>IF(INPUT!E35="","",INPUT!E35)</f>
        <v/>
      </c>
      <c r="D53" s="282" t="str">
        <f>IF(INPUT!G35="","",INPUT!G35)</f>
        <v/>
      </c>
      <c r="E53" s="283" t="str">
        <f>IF(INPUT!L35="","",INPUT!L35)</f>
        <v/>
      </c>
      <c r="F53" s="283" t="str">
        <f>IF(INPUT!M35="","",INPUT!M35)</f>
        <v/>
      </c>
      <c r="G53" s="281" t="str">
        <f>IF(H53="","",CONCATENATE(IF(INPUT!N35="","",INPUT!N35)," - ",TEXT(H53,"0,00")))</f>
        <v/>
      </c>
      <c r="H53" s="282" t="str">
        <f>IF(A53="","",IF(P53="y",INPUT!P35,O53))</f>
        <v/>
      </c>
      <c r="I53" s="284" t="str">
        <f>IFERROR(VLOOKUP(S53,Formulas!$T$2:$U$77,2,0),"")</f>
        <v/>
      </c>
      <c r="J53" s="285">
        <f t="shared" si="2"/>
        <v>0</v>
      </c>
      <c r="K53" s="286">
        <f t="shared" si="3"/>
        <v>0</v>
      </c>
      <c r="L53" s="287" t="str">
        <f t="shared" si="4"/>
        <v/>
      </c>
      <c r="M53" s="287" t="str">
        <f t="shared" si="5"/>
        <v/>
      </c>
      <c r="N53" s="288" t="str">
        <f t="shared" si="6"/>
        <v/>
      </c>
      <c r="O53" s="289">
        <f>IFERROR(IF(B53="E",(C53*0.05)+AD53,PMT(VLOOKUP(S53,Formulas!T:U,2,0)/12,J53,-C53)),0)</f>
        <v>0</v>
      </c>
      <c r="P53" s="202" t="str">
        <f>INPUT!B35</f>
        <v/>
      </c>
      <c r="Q53" s="202" t="str">
        <f t="shared" si="7"/>
        <v/>
      </c>
      <c r="R53" s="202" t="str">
        <f>INPUT!N35</f>
        <v/>
      </c>
      <c r="S53" s="202" t="str">
        <f t="shared" si="8"/>
        <v>--</v>
      </c>
      <c r="T53" s="134"/>
      <c r="U53" s="134"/>
      <c r="V53" s="134"/>
      <c r="W53" s="134"/>
      <c r="X53" s="134"/>
      <c r="Y53" s="134"/>
      <c r="Z53" s="134"/>
      <c r="AA53" s="134"/>
      <c r="AB53" s="134"/>
      <c r="AC53" s="288">
        <f t="shared" si="9"/>
        <v>0</v>
      </c>
      <c r="AD53" s="134">
        <f t="shared" si="10"/>
        <v>0</v>
      </c>
    </row>
    <row r="54" ht="15.75" customHeight="1">
      <c r="A54" s="281" t="str">
        <f>IF(INPUT!C36="","",INPUT!C36)</f>
        <v/>
      </c>
      <c r="B54" s="281" t="str">
        <f>IF(INPUT!D36="","",INPUT!D36)</f>
        <v/>
      </c>
      <c r="C54" s="282" t="str">
        <f>IF(INPUT!E36="","",INPUT!E36)</f>
        <v/>
      </c>
      <c r="D54" s="282" t="str">
        <f>IF(INPUT!G36="","",INPUT!G36)</f>
        <v/>
      </c>
      <c r="E54" s="283" t="str">
        <f>IF(INPUT!L36="","",INPUT!L36)</f>
        <v/>
      </c>
      <c r="F54" s="283" t="str">
        <f>IF(INPUT!M36="","",INPUT!M36)</f>
        <v/>
      </c>
      <c r="G54" s="281" t="str">
        <f>IF(H54="","",CONCATENATE(IF(INPUT!N36="","",INPUT!N36)," - ",TEXT(H54,"0,00")))</f>
        <v/>
      </c>
      <c r="H54" s="282" t="str">
        <f>IF(A54="","",IF(P54="y",INPUT!P36,O54))</f>
        <v/>
      </c>
      <c r="I54" s="284" t="str">
        <f>IFERROR(VLOOKUP(S54,Formulas!$T$2:$U$77,2,0),"")</f>
        <v/>
      </c>
      <c r="J54" s="285">
        <f t="shared" si="2"/>
        <v>0</v>
      </c>
      <c r="K54" s="286">
        <f t="shared" si="3"/>
        <v>0</v>
      </c>
      <c r="L54" s="287" t="str">
        <f t="shared" si="4"/>
        <v/>
      </c>
      <c r="M54" s="287" t="str">
        <f t="shared" si="5"/>
        <v/>
      </c>
      <c r="N54" s="288" t="str">
        <f t="shared" si="6"/>
        <v/>
      </c>
      <c r="O54" s="289">
        <f>IFERROR(IF(B54="E",(C54*0.05)+AD54,PMT(VLOOKUP(S54,Formulas!T:U,2,0)/12,J54,-C54)),0)</f>
        <v>0</v>
      </c>
      <c r="P54" s="202" t="str">
        <f>INPUT!B36</f>
        <v/>
      </c>
      <c r="Q54" s="202" t="str">
        <f t="shared" si="7"/>
        <v/>
      </c>
      <c r="R54" s="202" t="str">
        <f>INPUT!N36</f>
        <v/>
      </c>
      <c r="S54" s="202" t="str">
        <f t="shared" si="8"/>
        <v>--</v>
      </c>
      <c r="T54" s="134"/>
      <c r="U54" s="134"/>
      <c r="V54" s="134"/>
      <c r="W54" s="134"/>
      <c r="X54" s="134"/>
      <c r="Y54" s="134"/>
      <c r="Z54" s="134"/>
      <c r="AA54" s="134"/>
      <c r="AB54" s="134"/>
      <c r="AC54" s="288">
        <f t="shared" si="9"/>
        <v>0</v>
      </c>
      <c r="AD54" s="134">
        <f t="shared" si="10"/>
        <v>0</v>
      </c>
    </row>
    <row r="55" ht="15.75" customHeight="1">
      <c r="A55" s="281" t="str">
        <f>IF(ECIB!B28="","",ECIB!B28)</f>
        <v/>
      </c>
      <c r="B55" s="281" t="str">
        <f>IF(ECIB!C28="","",ECIB!C28)</f>
        <v/>
      </c>
      <c r="C55" s="282" t="str">
        <f>IF(INPUT!E37="","",INPUT!E37)</f>
        <v/>
      </c>
      <c r="D55" s="282" t="str">
        <f>IF(INPUT!G37="","",INPUT!G37)</f>
        <v/>
      </c>
      <c r="E55" s="283" t="str">
        <f>IF(ECIB!K28="","",ECIB!K28)</f>
        <v/>
      </c>
      <c r="F55" s="283" t="str">
        <f>IF(ECIB!L28="","",ECIB!L28)</f>
        <v/>
      </c>
      <c r="G55" s="281" t="str">
        <f>IF(H55="","",CONCATENATE(IF(ECIB!M28="","",ECIB!M28)," - ",TEXT(H55,"0,00")))</f>
        <v/>
      </c>
      <c r="H55" s="282" t="str">
        <f>IF(A55="","",IF(P55="y",ECIB!X28,O55))</f>
        <v/>
      </c>
      <c r="I55" s="284" t="str">
        <f>IFERROR(VLOOKUP(S55,Formulas!$T$2:$U$77,2,0),"")</f>
        <v/>
      </c>
      <c r="J55" s="285">
        <f t="shared" si="2"/>
        <v>0</v>
      </c>
      <c r="K55" s="286">
        <f t="shared" si="3"/>
        <v>0</v>
      </c>
      <c r="L55" s="287" t="str">
        <f t="shared" si="4"/>
        <v/>
      </c>
      <c r="M55" s="287" t="str">
        <f t="shared" si="5"/>
        <v/>
      </c>
      <c r="N55" s="288" t="str">
        <f t="shared" si="6"/>
        <v/>
      </c>
      <c r="O55" s="289">
        <f>IFERROR(IF(B55="E",(C55*0.05)+AD55,PMT(VLOOKUP(S55,Formulas!T:U,2,0)/12,J55,-C55)),0)</f>
        <v>0</v>
      </c>
      <c r="P55" s="202" t="str">
        <f>ECIB!A28</f>
        <v/>
      </c>
      <c r="Q55" s="202" t="str">
        <f t="shared" si="7"/>
        <v/>
      </c>
      <c r="R55" s="202" t="str">
        <f>ECIB!M28</f>
        <v/>
      </c>
      <c r="S55" s="202" t="str">
        <f t="shared" si="8"/>
        <v>--</v>
      </c>
      <c r="T55" s="134"/>
      <c r="U55" s="134"/>
      <c r="V55" s="134"/>
      <c r="W55" s="134"/>
      <c r="X55" s="134"/>
      <c r="Y55" s="134"/>
      <c r="Z55" s="134"/>
      <c r="AA55" s="134"/>
      <c r="AB55" s="134"/>
      <c r="AC55" s="288">
        <f t="shared" si="9"/>
        <v>0</v>
      </c>
      <c r="AD55" s="134">
        <f t="shared" si="10"/>
        <v>0</v>
      </c>
    </row>
    <row r="56" ht="15.75" customHeight="1">
      <c r="A56" s="281" t="str">
        <f>IF(ECIB!B29="","",ECIB!B29)</f>
        <v/>
      </c>
      <c r="B56" s="281" t="str">
        <f>IF(ECIB!C29="","",ECIB!C29)</f>
        <v/>
      </c>
      <c r="C56" s="282" t="str">
        <f>IF(INPUT!E38="","",INPUT!E38)</f>
        <v/>
      </c>
      <c r="D56" s="282" t="str">
        <f>IF(INPUT!G38="","",INPUT!G38)</f>
        <v/>
      </c>
      <c r="E56" s="283" t="str">
        <f>IF(ECIB!K29="","",ECIB!K29)</f>
        <v/>
      </c>
      <c r="F56" s="283" t="str">
        <f>IF(ECIB!L29="","",ECIB!L29)</f>
        <v/>
      </c>
      <c r="G56" s="281" t="str">
        <f>IF(H56="","",CONCATENATE(IF(ECIB!M29="","",ECIB!M29)," - ",TEXT(H56,"0,00")))</f>
        <v/>
      </c>
      <c r="H56" s="282" t="str">
        <f>IF(A56="","",IF(P56="y",ECIB!X29,O56))</f>
        <v/>
      </c>
      <c r="I56" s="284" t="str">
        <f>IFERROR(VLOOKUP(S56,Formulas!$T$2:$U$77,2,0),"")</f>
        <v/>
      </c>
      <c r="J56" s="285">
        <f t="shared" si="2"/>
        <v>0</v>
      </c>
      <c r="K56" s="286">
        <f t="shared" si="3"/>
        <v>0</v>
      </c>
      <c r="L56" s="287" t="str">
        <f t="shared" si="4"/>
        <v/>
      </c>
      <c r="M56" s="287" t="str">
        <f t="shared" si="5"/>
        <v/>
      </c>
      <c r="N56" s="288" t="str">
        <f t="shared" si="6"/>
        <v/>
      </c>
      <c r="O56" s="289">
        <f>IFERROR(IF(B56="E",(C56*0.05)+AD56,PMT(VLOOKUP(S56,Formulas!T:U,2,0)/12,J56,-C56)),0)</f>
        <v>0</v>
      </c>
      <c r="P56" s="202" t="str">
        <f>ECIB!A29</f>
        <v/>
      </c>
      <c r="Q56" s="202" t="str">
        <f t="shared" si="7"/>
        <v/>
      </c>
      <c r="R56" s="202" t="str">
        <f>ECIB!M29</f>
        <v/>
      </c>
      <c r="S56" s="202" t="str">
        <f t="shared" si="8"/>
        <v>--</v>
      </c>
      <c r="T56" s="134"/>
      <c r="U56" s="134"/>
      <c r="V56" s="134"/>
      <c r="W56" s="134"/>
      <c r="X56" s="134"/>
      <c r="Y56" s="134"/>
      <c r="Z56" s="134"/>
      <c r="AA56" s="134"/>
      <c r="AB56" s="134"/>
      <c r="AC56" s="288">
        <f t="shared" si="9"/>
        <v>0</v>
      </c>
      <c r="AD56" s="134">
        <f t="shared" si="10"/>
        <v>0</v>
      </c>
    </row>
    <row r="57" ht="15.75" customHeight="1">
      <c r="A57" s="281" t="str">
        <f>IF(ECIB!B30="","",ECIB!B30)</f>
        <v/>
      </c>
      <c r="B57" s="281" t="str">
        <f>IF(ECIB!C30="","",ECIB!C30)</f>
        <v/>
      </c>
      <c r="C57" s="282" t="str">
        <f>IF(INPUT!E39="","",INPUT!E39)</f>
        <v/>
      </c>
      <c r="D57" s="282" t="str">
        <f>IF(INPUT!G39="","",INPUT!G39)</f>
        <v/>
      </c>
      <c r="E57" s="283" t="str">
        <f>IF(ECIB!K30="","",ECIB!K30)</f>
        <v/>
      </c>
      <c r="F57" s="283" t="str">
        <f>IF(ECIB!L30="","",ECIB!L30)</f>
        <v/>
      </c>
      <c r="G57" s="281" t="str">
        <f>IF(H57="","",CONCATENATE(IF(ECIB!M30="","",ECIB!M30)," - ",TEXT(H57,"0,00")))</f>
        <v/>
      </c>
      <c r="H57" s="282" t="str">
        <f>IF(A57="","",IF(P57="y",ECIB!X30,O57))</f>
        <v/>
      </c>
      <c r="I57" s="284" t="str">
        <f>IFERROR(VLOOKUP(S57,Formulas!$T$2:$U$77,2,0),"")</f>
        <v/>
      </c>
      <c r="J57" s="285">
        <f t="shared" si="2"/>
        <v>0</v>
      </c>
      <c r="K57" s="286">
        <f t="shared" si="3"/>
        <v>0</v>
      </c>
      <c r="L57" s="287" t="str">
        <f t="shared" si="4"/>
        <v/>
      </c>
      <c r="M57" s="287" t="str">
        <f t="shared" si="5"/>
        <v/>
      </c>
      <c r="N57" s="288" t="str">
        <f t="shared" si="6"/>
        <v/>
      </c>
      <c r="O57" s="289">
        <f>IFERROR(IF(B57="E",(C57*0.05)+AD57,PMT(VLOOKUP(S57,Formulas!T:U,2,0)/12,J57,-C57)),0)</f>
        <v>0</v>
      </c>
      <c r="P57" s="202" t="str">
        <f>ECIB!A30</f>
        <v/>
      </c>
      <c r="Q57" s="202" t="str">
        <f t="shared" si="7"/>
        <v/>
      </c>
      <c r="R57" s="202" t="str">
        <f>ECIB!M30</f>
        <v/>
      </c>
      <c r="S57" s="202" t="str">
        <f t="shared" si="8"/>
        <v>--</v>
      </c>
      <c r="T57" s="134"/>
      <c r="U57" s="134"/>
      <c r="V57" s="134"/>
      <c r="W57" s="134"/>
      <c r="X57" s="134"/>
      <c r="Y57" s="134"/>
      <c r="Z57" s="134"/>
      <c r="AA57" s="134"/>
      <c r="AB57" s="134"/>
      <c r="AC57" s="288">
        <f t="shared" si="9"/>
        <v>0</v>
      </c>
      <c r="AD57" s="134">
        <f t="shared" si="10"/>
        <v>0</v>
      </c>
    </row>
    <row r="58" ht="15.75" customHeight="1">
      <c r="A58" s="281" t="str">
        <f>IF(ECIB!B31="","",ECIB!B31)</f>
        <v/>
      </c>
      <c r="B58" s="281" t="str">
        <f>IF(ECIB!C31="","",ECIB!C31)</f>
        <v/>
      </c>
      <c r="C58" s="282" t="str">
        <f>IF(INPUT!E40="","",INPUT!E40)</f>
        <v/>
      </c>
      <c r="D58" s="282" t="str">
        <f>IF(INPUT!G40="","",INPUT!G40)</f>
        <v/>
      </c>
      <c r="E58" s="283" t="str">
        <f>IF(ECIB!K31="","",ECIB!K31)</f>
        <v/>
      </c>
      <c r="F58" s="283" t="str">
        <f>IF(ECIB!L31="","",ECIB!L31)</f>
        <v/>
      </c>
      <c r="G58" s="281" t="str">
        <f>IF(H58="","",CONCATENATE(IF(ECIB!M31="","",ECIB!M31)," - ",TEXT(H58,"0,00")))</f>
        <v/>
      </c>
      <c r="H58" s="282" t="str">
        <f>IF(A58="","",IF(P58="y",ECIB!X31,O58))</f>
        <v/>
      </c>
      <c r="I58" s="284" t="str">
        <f>IFERROR(VLOOKUP(S58,Formulas!$T$2:$U$77,2,0),"")</f>
        <v/>
      </c>
      <c r="J58" s="285">
        <f t="shared" si="2"/>
        <v>0</v>
      </c>
      <c r="K58" s="286">
        <f t="shared" si="3"/>
        <v>0</v>
      </c>
      <c r="L58" s="287" t="str">
        <f t="shared" si="4"/>
        <v/>
      </c>
      <c r="M58" s="287" t="str">
        <f t="shared" si="5"/>
        <v/>
      </c>
      <c r="N58" s="288" t="str">
        <f t="shared" si="6"/>
        <v/>
      </c>
      <c r="O58" s="289">
        <f>IFERROR(IF(B58="E",(C58*0.05)+AD58,PMT(VLOOKUP(S58,Formulas!T:U,2,0)/12,J58,-C58)),0)</f>
        <v>0</v>
      </c>
      <c r="P58" s="202" t="str">
        <f>ECIB!A31</f>
        <v/>
      </c>
      <c r="Q58" s="202" t="str">
        <f t="shared" si="7"/>
        <v/>
      </c>
      <c r="R58" s="202" t="str">
        <f>ECIB!M31</f>
        <v/>
      </c>
      <c r="S58" s="202" t="str">
        <f t="shared" si="8"/>
        <v>--</v>
      </c>
      <c r="T58" s="134"/>
      <c r="U58" s="134"/>
      <c r="V58" s="134"/>
      <c r="W58" s="134"/>
      <c r="X58" s="134"/>
      <c r="Y58" s="134"/>
      <c r="Z58" s="134"/>
      <c r="AA58" s="134"/>
      <c r="AB58" s="134"/>
      <c r="AC58" s="288">
        <f t="shared" si="9"/>
        <v>0</v>
      </c>
      <c r="AD58" s="134">
        <f t="shared" si="10"/>
        <v>0</v>
      </c>
    </row>
    <row r="59" ht="15.75" customHeight="1">
      <c r="A59" s="281" t="str">
        <f>IF(ECIB!B32="","",ECIB!B32)</f>
        <v/>
      </c>
      <c r="B59" s="281" t="str">
        <f>IF(ECIB!C32="","",ECIB!C32)</f>
        <v/>
      </c>
      <c r="C59" s="282" t="str">
        <f>IF(INPUT!E41="","",INPUT!E41)</f>
        <v/>
      </c>
      <c r="D59" s="282" t="str">
        <f>IF(INPUT!G41="","",INPUT!G41)</f>
        <v/>
      </c>
      <c r="E59" s="283" t="str">
        <f>IF(ECIB!K32="","",ECIB!K32)</f>
        <v/>
      </c>
      <c r="F59" s="283" t="str">
        <f>IF(ECIB!L32="","",ECIB!L32)</f>
        <v/>
      </c>
      <c r="G59" s="281" t="str">
        <f>IF(H59="","",CONCATENATE(IF(ECIB!M32="","",ECIB!M32)," - ",TEXT(H59,"0,00")))</f>
        <v/>
      </c>
      <c r="H59" s="282" t="str">
        <f>IF(A59="","",IF(P59="y",ECIB!X32,O59))</f>
        <v/>
      </c>
      <c r="I59" s="284" t="str">
        <f>IFERROR(VLOOKUP(S59,Formulas!$T$2:$U$77,2,0),"")</f>
        <v/>
      </c>
      <c r="J59" s="285">
        <f t="shared" si="2"/>
        <v>0</v>
      </c>
      <c r="K59" s="286">
        <f t="shared" si="3"/>
        <v>0</v>
      </c>
      <c r="L59" s="287" t="str">
        <f t="shared" si="4"/>
        <v/>
      </c>
      <c r="M59" s="287" t="str">
        <f t="shared" si="5"/>
        <v/>
      </c>
      <c r="N59" s="288" t="str">
        <f t="shared" si="6"/>
        <v/>
      </c>
      <c r="O59" s="289">
        <f>IFERROR(IF(B59="E",(C59*0.05)+AD59,PMT(VLOOKUP(S59,Formulas!T:U,2,0)/12,J59,-C59)),0)</f>
        <v>0</v>
      </c>
      <c r="P59" s="202" t="str">
        <f>ECIB!A32</f>
        <v/>
      </c>
      <c r="Q59" s="202" t="str">
        <f t="shared" si="7"/>
        <v/>
      </c>
      <c r="R59" s="202" t="str">
        <f>ECIB!M32</f>
        <v/>
      </c>
      <c r="S59" s="202" t="str">
        <f t="shared" si="8"/>
        <v>--</v>
      </c>
      <c r="T59" s="134"/>
      <c r="U59" s="134"/>
      <c r="V59" s="134"/>
      <c r="W59" s="134"/>
      <c r="X59" s="134"/>
      <c r="Y59" s="134"/>
      <c r="Z59" s="134"/>
      <c r="AA59" s="134"/>
      <c r="AB59" s="134"/>
      <c r="AC59" s="288">
        <f t="shared" si="9"/>
        <v>0</v>
      </c>
      <c r="AD59" s="134">
        <f t="shared" si="10"/>
        <v>0</v>
      </c>
    </row>
    <row r="60" ht="15.75" customHeight="1">
      <c r="A60" s="281" t="str">
        <f>IF(ECIB!B33="","",ECIB!B33)</f>
        <v/>
      </c>
      <c r="B60" s="281" t="str">
        <f>IF(ECIB!C33="","",ECIB!C33)</f>
        <v/>
      </c>
      <c r="C60" s="282" t="str">
        <f>IF(INPUT!E42="","",INPUT!E42)</f>
        <v/>
      </c>
      <c r="D60" s="282" t="str">
        <f>IF(INPUT!G42="","",INPUT!G42)</f>
        <v/>
      </c>
      <c r="E60" s="283" t="str">
        <f>IF(ECIB!K33="","",ECIB!K33)</f>
        <v/>
      </c>
      <c r="F60" s="283" t="str">
        <f>IF(ECIB!L33="","",ECIB!L33)</f>
        <v/>
      </c>
      <c r="G60" s="281" t="str">
        <f>IF(H60="","",CONCATENATE(IF(ECIB!M33="","",ECIB!M33)," - ",TEXT(H60,"0,00")))</f>
        <v/>
      </c>
      <c r="H60" s="282" t="str">
        <f>IF(A60="","",IF(P60="y",ECIB!X33,O60))</f>
        <v/>
      </c>
      <c r="I60" s="284" t="str">
        <f>IFERROR(VLOOKUP(S60,Formulas!$T$2:$U$77,2,0),"")</f>
        <v/>
      </c>
      <c r="J60" s="285">
        <f t="shared" si="2"/>
        <v>0</v>
      </c>
      <c r="K60" s="286">
        <f t="shared" si="3"/>
        <v>0</v>
      </c>
      <c r="L60" s="287" t="str">
        <f t="shared" si="4"/>
        <v/>
      </c>
      <c r="M60" s="287" t="str">
        <f t="shared" si="5"/>
        <v/>
      </c>
      <c r="N60" s="288" t="str">
        <f t="shared" si="6"/>
        <v/>
      </c>
      <c r="O60" s="289">
        <f>IFERROR(IF(B60="E",(C60*0.05)+AD60,PMT(VLOOKUP(S60,Formulas!T:U,2,0)/12,J60,-C60)),0)</f>
        <v>0</v>
      </c>
      <c r="P60" s="202" t="str">
        <f>ECIB!A33</f>
        <v/>
      </c>
      <c r="Q60" s="202" t="str">
        <f t="shared" si="7"/>
        <v/>
      </c>
      <c r="R60" s="202" t="str">
        <f>ECIB!M33</f>
        <v/>
      </c>
      <c r="S60" s="202" t="str">
        <f t="shared" si="8"/>
        <v>--</v>
      </c>
      <c r="T60" s="134"/>
      <c r="U60" s="134"/>
      <c r="V60" s="134"/>
      <c r="W60" s="134"/>
      <c r="X60" s="134"/>
      <c r="Y60" s="134"/>
      <c r="Z60" s="134"/>
      <c r="AA60" s="134"/>
      <c r="AB60" s="134"/>
      <c r="AC60" s="288">
        <f t="shared" si="9"/>
        <v>0</v>
      </c>
      <c r="AD60" s="134">
        <f t="shared" si="10"/>
        <v>0</v>
      </c>
    </row>
    <row r="61" ht="15.75" customHeight="1">
      <c r="A61" s="281" t="str">
        <f>IF(ECIB!B34="","",ECIB!B34)</f>
        <v/>
      </c>
      <c r="B61" s="281" t="str">
        <f>IF(ECIB!C34="","",ECIB!C34)</f>
        <v/>
      </c>
      <c r="C61" s="282" t="str">
        <f>IF(INPUT!E43="","",INPUT!E43)</f>
        <v/>
      </c>
      <c r="D61" s="282" t="str">
        <f>IF(INPUT!G43="","",INPUT!G43)</f>
        <v/>
      </c>
      <c r="E61" s="283" t="str">
        <f>IF(ECIB!K34="","",ECIB!K34)</f>
        <v/>
      </c>
      <c r="F61" s="283" t="str">
        <f>IF(ECIB!L34="","",ECIB!L34)</f>
        <v/>
      </c>
      <c r="G61" s="281" t="str">
        <f>IF(H61="","",CONCATENATE(IF(ECIB!M34="","",ECIB!M34)," - ",TEXT(H61,"0,00")))</f>
        <v/>
      </c>
      <c r="H61" s="282" t="str">
        <f>IF(A61="","",IF(P61="y",ECIB!X34,O61))</f>
        <v/>
      </c>
      <c r="I61" s="284" t="str">
        <f>IFERROR(VLOOKUP(S61,Formulas!$T$2:$U$77,2,0),"")</f>
        <v/>
      </c>
      <c r="J61" s="285">
        <f t="shared" si="2"/>
        <v>0</v>
      </c>
      <c r="K61" s="286">
        <f t="shared" si="3"/>
        <v>0</v>
      </c>
      <c r="L61" s="287" t="str">
        <f t="shared" si="4"/>
        <v/>
      </c>
      <c r="M61" s="287" t="str">
        <f t="shared" si="5"/>
        <v/>
      </c>
      <c r="N61" s="288" t="str">
        <f t="shared" si="6"/>
        <v/>
      </c>
      <c r="O61" s="289">
        <f>IFERROR(IF(B61="E",(C61*0.05)+AD61,PMT(VLOOKUP(S61,Formulas!T:U,2,0)/12,J61,-C61)),0)</f>
        <v>0</v>
      </c>
      <c r="P61" s="202" t="str">
        <f>ECIB!A34</f>
        <v/>
      </c>
      <c r="Q61" s="202" t="str">
        <f t="shared" si="7"/>
        <v/>
      </c>
      <c r="R61" s="202" t="str">
        <f>ECIB!M34</f>
        <v/>
      </c>
      <c r="S61" s="202" t="str">
        <f t="shared" si="8"/>
        <v>--</v>
      </c>
      <c r="T61" s="134"/>
      <c r="U61" s="134"/>
      <c r="V61" s="134"/>
      <c r="W61" s="134"/>
      <c r="X61" s="134"/>
      <c r="Y61" s="134"/>
      <c r="Z61" s="134"/>
      <c r="AA61" s="134"/>
      <c r="AB61" s="134"/>
      <c r="AC61" s="288">
        <f t="shared" si="9"/>
        <v>0</v>
      </c>
      <c r="AD61" s="134">
        <f t="shared" si="10"/>
        <v>0</v>
      </c>
    </row>
    <row r="62" ht="15.75" customHeight="1">
      <c r="A62" s="281" t="str">
        <f>IF(ECIB!B35="","",ECIB!B35)</f>
        <v/>
      </c>
      <c r="B62" s="281" t="str">
        <f>IF(ECIB!C35="","",ECIB!C35)</f>
        <v/>
      </c>
      <c r="C62" s="282" t="str">
        <f>IF(INPUT!E44="","",INPUT!E44)</f>
        <v/>
      </c>
      <c r="D62" s="282" t="str">
        <f>IF(INPUT!G44="","",INPUT!G44)</f>
        <v/>
      </c>
      <c r="E62" s="283" t="str">
        <f>IF(ECIB!K35="","",ECIB!K35)</f>
        <v/>
      </c>
      <c r="F62" s="283" t="str">
        <f>IF(ECIB!L35="","",ECIB!L35)</f>
        <v/>
      </c>
      <c r="G62" s="281" t="str">
        <f>IF(H62="","",CONCATENATE(IF(ECIB!M35="","",ECIB!M35)," - ",TEXT(H62,"0,00")))</f>
        <v/>
      </c>
      <c r="H62" s="282" t="str">
        <f>IF(A62="","",IF(P62="y",ECIB!X35,O62))</f>
        <v/>
      </c>
      <c r="I62" s="284" t="str">
        <f>IFERROR(VLOOKUP(S62,Formulas!$T$2:$U$77,2,0),"")</f>
        <v/>
      </c>
      <c r="J62" s="285">
        <f t="shared" si="2"/>
        <v>0</v>
      </c>
      <c r="K62" s="286">
        <f t="shared" si="3"/>
        <v>0</v>
      </c>
      <c r="L62" s="287" t="str">
        <f t="shared" si="4"/>
        <v/>
      </c>
      <c r="M62" s="287" t="str">
        <f t="shared" si="5"/>
        <v/>
      </c>
      <c r="N62" s="288" t="str">
        <f t="shared" si="6"/>
        <v/>
      </c>
      <c r="O62" s="289">
        <f>IFERROR(IF(B62="E",(C62*0.05)+AD62,PMT(VLOOKUP(S62,Formulas!T:U,2,0)/12,J62,-C62)),0)</f>
        <v>0</v>
      </c>
      <c r="P62" s="202" t="str">
        <f>ECIB!A35</f>
        <v/>
      </c>
      <c r="Q62" s="202" t="str">
        <f t="shared" si="7"/>
        <v/>
      </c>
      <c r="R62" s="202" t="str">
        <f>ECIB!M35</f>
        <v/>
      </c>
      <c r="S62" s="202" t="str">
        <f t="shared" si="8"/>
        <v>--</v>
      </c>
      <c r="T62" s="134"/>
      <c r="U62" s="134"/>
      <c r="V62" s="134"/>
      <c r="W62" s="134"/>
      <c r="X62" s="134"/>
      <c r="Y62" s="134"/>
      <c r="Z62" s="134"/>
      <c r="AA62" s="134"/>
      <c r="AB62" s="134"/>
      <c r="AC62" s="288">
        <f t="shared" si="9"/>
        <v>0</v>
      </c>
      <c r="AD62" s="134">
        <f t="shared" si="10"/>
        <v>0</v>
      </c>
    </row>
    <row r="63" ht="15.75" customHeight="1">
      <c r="A63" s="281" t="str">
        <f>IF(ECIB!B40="","",ECIB!B40)</f>
        <v/>
      </c>
      <c r="B63" s="281" t="str">
        <f>IF(ECIB!C40="","",ECIB!C40)</f>
        <v/>
      </c>
      <c r="C63" s="282" t="str">
        <f>IF(INPUT!E45="","",INPUT!E45)</f>
        <v/>
      </c>
      <c r="D63" s="282" t="str">
        <f>IF(INPUT!G45="","",INPUT!G45)</f>
        <v/>
      </c>
      <c r="E63" s="283" t="str">
        <f>IF(ECIB!K40="","",ECIB!K40)</f>
        <v/>
      </c>
      <c r="F63" s="283" t="str">
        <f>IF(ECIB!L40="","",ECIB!L40)</f>
        <v/>
      </c>
      <c r="G63" s="281" t="str">
        <f>IF(H63="","",CONCATENATE(IF(ECIB!M40="","",ECIB!M40)," - ",TEXT(H63,"0,00")))</f>
        <v/>
      </c>
      <c r="H63" s="282" t="str">
        <f>IF(A63="","",IF(P63="y",ECIB!X40,O63))</f>
        <v/>
      </c>
      <c r="I63" s="284" t="str">
        <f>IFERROR(VLOOKUP(S63,Formulas!$T$2:$U$77,2,0),"")</f>
        <v/>
      </c>
      <c r="J63" s="285">
        <f t="shared" si="2"/>
        <v>0</v>
      </c>
      <c r="K63" s="286">
        <f t="shared" si="3"/>
        <v>0</v>
      </c>
      <c r="L63" s="287" t="str">
        <f t="shared" si="4"/>
        <v/>
      </c>
      <c r="M63" s="287" t="str">
        <f t="shared" si="5"/>
        <v/>
      </c>
      <c r="N63" s="288" t="str">
        <f t="shared" si="6"/>
        <v/>
      </c>
      <c r="O63" s="289">
        <f>IFERROR(IF(B63="E",(C63*0.05)+AD63,PMT(VLOOKUP(S63,Formulas!T:U,2,0)/12,J63,-C63)),0)</f>
        <v>0</v>
      </c>
      <c r="P63" s="202" t="str">
        <f>ECIB!A40</f>
        <v/>
      </c>
      <c r="Q63" s="202" t="str">
        <f t="shared" si="7"/>
        <v/>
      </c>
      <c r="R63" s="202" t="str">
        <f>ECIB!M40</f>
        <v/>
      </c>
      <c r="S63" s="202" t="str">
        <f t="shared" si="8"/>
        <v>--</v>
      </c>
      <c r="T63" s="134"/>
      <c r="U63" s="134"/>
      <c r="V63" s="134"/>
      <c r="W63" s="134"/>
      <c r="X63" s="134"/>
      <c r="Y63" s="134"/>
      <c r="Z63" s="134"/>
      <c r="AA63" s="134"/>
      <c r="AB63" s="134"/>
      <c r="AC63" s="288">
        <f t="shared" si="9"/>
        <v>0</v>
      </c>
      <c r="AD63" s="134">
        <f t="shared" si="10"/>
        <v>0</v>
      </c>
    </row>
    <row r="64" ht="15.75" customHeight="1">
      <c r="A64" s="281" t="str">
        <f>IF(ECIB!B41="","",ECIB!B41)</f>
        <v/>
      </c>
      <c r="B64" s="281" t="str">
        <f>IF(ECIB!C41="","",ECIB!C41)</f>
        <v/>
      </c>
      <c r="C64" s="282" t="str">
        <f>IF(INPUT!E46="","",INPUT!E46)</f>
        <v/>
      </c>
      <c r="D64" s="282" t="str">
        <f>IF(INPUT!G46="","",INPUT!G46)</f>
        <v/>
      </c>
      <c r="E64" s="283" t="str">
        <f>IF(ECIB!K41="","",ECIB!K41)</f>
        <v/>
      </c>
      <c r="F64" s="283" t="str">
        <f>IF(ECIB!L41="","",ECIB!L41)</f>
        <v/>
      </c>
      <c r="G64" s="281" t="str">
        <f>IF(H64="","",CONCATENATE(IF(ECIB!M41="","",ECIB!M41)," - ",TEXT(H64,"0,00")))</f>
        <v/>
      </c>
      <c r="H64" s="282" t="str">
        <f>IF(A64="","",IF(P64="y",ECIB!X41,O64))</f>
        <v/>
      </c>
      <c r="I64" s="284" t="str">
        <f>IFERROR(VLOOKUP(S64,Formulas!$T$2:$U$77,2,0),"")</f>
        <v/>
      </c>
      <c r="J64" s="285">
        <f t="shared" si="2"/>
        <v>0</v>
      </c>
      <c r="K64" s="286">
        <f t="shared" si="3"/>
        <v>0</v>
      </c>
      <c r="L64" s="287" t="str">
        <f t="shared" si="4"/>
        <v/>
      </c>
      <c r="M64" s="287" t="str">
        <f t="shared" si="5"/>
        <v/>
      </c>
      <c r="N64" s="288" t="str">
        <f t="shared" si="6"/>
        <v/>
      </c>
      <c r="O64" s="289">
        <f>IFERROR(IF(B64="E",(C64*0.05)+AD64,PMT(VLOOKUP(S64,Formulas!T:U,2,0)/12,J64,-C64)),0)</f>
        <v>0</v>
      </c>
      <c r="P64" s="202" t="str">
        <f>ECIB!A41</f>
        <v/>
      </c>
      <c r="Q64" s="202" t="str">
        <f t="shared" si="7"/>
        <v/>
      </c>
      <c r="R64" s="202" t="str">
        <f>ECIB!M41</f>
        <v/>
      </c>
      <c r="S64" s="202" t="str">
        <f t="shared" si="8"/>
        <v>--</v>
      </c>
      <c r="T64" s="134"/>
      <c r="U64" s="134"/>
      <c r="V64" s="134"/>
      <c r="W64" s="134"/>
      <c r="X64" s="134"/>
      <c r="Y64" s="134"/>
      <c r="Z64" s="134"/>
      <c r="AA64" s="134"/>
      <c r="AB64" s="134"/>
      <c r="AC64" s="288">
        <f t="shared" si="9"/>
        <v>0</v>
      </c>
      <c r="AD64" s="134">
        <f t="shared" si="10"/>
        <v>0</v>
      </c>
    </row>
    <row r="65" ht="15.75" customHeight="1">
      <c r="A65" s="281" t="str">
        <f>IF(ECIB!B42="","",ECIB!B42)</f>
        <v/>
      </c>
      <c r="B65" s="281" t="str">
        <f>IF(ECIB!C42="","",ECIB!C42)</f>
        <v/>
      </c>
      <c r="C65" s="282" t="str">
        <f>IF(INPUT!E47="","",INPUT!E47)</f>
        <v/>
      </c>
      <c r="D65" s="282" t="str">
        <f>IF(INPUT!G47="","",INPUT!G47)</f>
        <v/>
      </c>
      <c r="E65" s="283" t="str">
        <f>IF(ECIB!K42="","",ECIB!K42)</f>
        <v/>
      </c>
      <c r="F65" s="283" t="str">
        <f>IF(ECIB!L42="","",ECIB!L42)</f>
        <v/>
      </c>
      <c r="G65" s="281" t="str">
        <f>IF(H65="","",CONCATENATE(IF(ECIB!M42="","",ECIB!M42)," - ",TEXT(H65,"0,00")))</f>
        <v/>
      </c>
      <c r="H65" s="282" t="str">
        <f>IF(A65="","",IF(P65="y",ECIB!X42,O65))</f>
        <v/>
      </c>
      <c r="I65" s="284" t="str">
        <f>IFERROR(VLOOKUP(S65,Formulas!$T$2:$U$77,2,0),"")</f>
        <v/>
      </c>
      <c r="J65" s="285">
        <f t="shared" si="2"/>
        <v>0</v>
      </c>
      <c r="K65" s="286">
        <f t="shared" si="3"/>
        <v>0</v>
      </c>
      <c r="L65" s="287" t="str">
        <f t="shared" si="4"/>
        <v/>
      </c>
      <c r="M65" s="287" t="str">
        <f t="shared" si="5"/>
        <v/>
      </c>
      <c r="N65" s="288" t="str">
        <f t="shared" si="6"/>
        <v/>
      </c>
      <c r="O65" s="289">
        <f>IFERROR(IF(B65="E",(C65*0.05)+AD65,PMT(VLOOKUP(S65,Formulas!T:U,2,0)/12,J65,-C65)),0)</f>
        <v>0</v>
      </c>
      <c r="P65" s="202" t="str">
        <f>ECIB!A42</f>
        <v/>
      </c>
      <c r="Q65" s="202" t="str">
        <f t="shared" si="7"/>
        <v/>
      </c>
      <c r="R65" s="202" t="str">
        <f>ECIB!M42</f>
        <v/>
      </c>
      <c r="S65" s="202" t="str">
        <f t="shared" si="8"/>
        <v>--</v>
      </c>
      <c r="T65" s="134"/>
      <c r="U65" s="134"/>
      <c r="V65" s="134"/>
      <c r="W65" s="134"/>
      <c r="X65" s="134"/>
      <c r="Y65" s="134"/>
      <c r="Z65" s="134"/>
      <c r="AA65" s="134"/>
      <c r="AB65" s="134"/>
      <c r="AC65" s="288">
        <f t="shared" si="9"/>
        <v>0</v>
      </c>
      <c r="AD65" s="134">
        <f t="shared" si="10"/>
        <v>0</v>
      </c>
    </row>
    <row r="66" ht="15.75" customHeight="1">
      <c r="A66" s="281"/>
      <c r="B66" s="281"/>
      <c r="C66" s="282" t="str">
        <f>IF(INPUT!E48="","",INPUT!E48)</f>
        <v/>
      </c>
      <c r="D66" s="282" t="str">
        <f>IF(INPUT!G48="","",INPUT!G48)</f>
        <v/>
      </c>
      <c r="E66" s="283"/>
      <c r="F66" s="283"/>
      <c r="G66" s="281"/>
      <c r="H66" s="282"/>
      <c r="I66" s="284"/>
      <c r="J66" s="285">
        <f t="shared" si="2"/>
        <v>0</v>
      </c>
      <c r="K66" s="286">
        <f t="shared" si="3"/>
        <v>0</v>
      </c>
      <c r="L66" s="287"/>
      <c r="M66" s="287"/>
      <c r="N66" s="288"/>
      <c r="O66" s="289"/>
      <c r="P66" s="202"/>
      <c r="Q66" s="202"/>
      <c r="R66" s="202"/>
      <c r="S66" s="202"/>
      <c r="T66" s="134"/>
      <c r="U66" s="134"/>
      <c r="V66" s="134"/>
      <c r="W66" s="134"/>
      <c r="X66" s="134"/>
      <c r="Y66" s="134"/>
      <c r="Z66" s="134"/>
      <c r="AA66" s="134"/>
      <c r="AB66" s="134"/>
      <c r="AC66" s="288"/>
      <c r="AD66" s="134"/>
    </row>
    <row r="67" ht="15.75" customHeight="1">
      <c r="A67" s="281"/>
      <c r="B67" s="281"/>
      <c r="C67" s="282" t="str">
        <f>IF(INPUT!E49="","",INPUT!E49)</f>
        <v/>
      </c>
      <c r="D67" s="282" t="str">
        <f>IF(INPUT!G49="","",INPUT!G49)</f>
        <v/>
      </c>
      <c r="E67" s="283"/>
      <c r="F67" s="283"/>
      <c r="G67" s="281"/>
      <c r="H67" s="282"/>
      <c r="I67" s="284"/>
      <c r="J67" s="285">
        <f t="shared" si="2"/>
        <v>0</v>
      </c>
      <c r="K67" s="286">
        <f t="shared" si="3"/>
        <v>0</v>
      </c>
      <c r="L67" s="287"/>
      <c r="M67" s="287"/>
      <c r="N67" s="288"/>
      <c r="O67" s="289"/>
      <c r="P67" s="202"/>
      <c r="Q67" s="202"/>
      <c r="R67" s="202"/>
      <c r="S67" s="202"/>
      <c r="T67" s="134"/>
      <c r="U67" s="134"/>
      <c r="V67" s="134"/>
      <c r="W67" s="134"/>
      <c r="X67" s="134"/>
      <c r="Y67" s="134"/>
      <c r="Z67" s="134"/>
      <c r="AA67" s="134"/>
      <c r="AB67" s="134"/>
      <c r="AC67" s="288"/>
      <c r="AD67" s="134"/>
    </row>
    <row r="68" ht="15.75" customHeight="1">
      <c r="A68" s="281"/>
      <c r="B68" s="281"/>
      <c r="C68" s="282" t="str">
        <f>IF(INPUT!E50="","",INPUT!E50)</f>
        <v/>
      </c>
      <c r="D68" s="282" t="str">
        <f>IF(INPUT!G50="","",INPUT!G50)</f>
        <v/>
      </c>
      <c r="E68" s="283"/>
      <c r="F68" s="283"/>
      <c r="G68" s="281"/>
      <c r="H68" s="282"/>
      <c r="I68" s="284"/>
      <c r="J68" s="285">
        <f t="shared" si="2"/>
        <v>0</v>
      </c>
      <c r="K68" s="286">
        <f t="shared" si="3"/>
        <v>0</v>
      </c>
      <c r="L68" s="287"/>
      <c r="M68" s="287"/>
      <c r="N68" s="288"/>
      <c r="O68" s="289"/>
      <c r="P68" s="202"/>
      <c r="Q68" s="202"/>
      <c r="R68" s="202"/>
      <c r="S68" s="202"/>
      <c r="T68" s="134"/>
      <c r="U68" s="134"/>
      <c r="V68" s="134"/>
      <c r="W68" s="134"/>
      <c r="X68" s="134"/>
      <c r="Y68" s="134"/>
      <c r="Z68" s="134"/>
      <c r="AA68" s="134"/>
      <c r="AB68" s="134"/>
      <c r="AC68" s="288"/>
      <c r="AD68" s="134"/>
    </row>
    <row r="69" ht="15.75" customHeight="1">
      <c r="A69" s="281"/>
      <c r="B69" s="281"/>
      <c r="C69" s="282" t="str">
        <f>IF(INPUT!E51="","",INPUT!E51)</f>
        <v/>
      </c>
      <c r="D69" s="282" t="str">
        <f>IF(INPUT!G51="","",INPUT!G51)</f>
        <v/>
      </c>
      <c r="E69" s="283"/>
      <c r="F69" s="283"/>
      <c r="G69" s="281"/>
      <c r="H69" s="282"/>
      <c r="I69" s="284"/>
      <c r="J69" s="285">
        <f t="shared" si="2"/>
        <v>0</v>
      </c>
      <c r="K69" s="286">
        <f t="shared" si="3"/>
        <v>0</v>
      </c>
      <c r="L69" s="287"/>
      <c r="M69" s="287"/>
      <c r="N69" s="288"/>
      <c r="O69" s="289"/>
      <c r="P69" s="202"/>
      <c r="Q69" s="202"/>
      <c r="R69" s="202"/>
      <c r="S69" s="202"/>
      <c r="T69" s="134"/>
      <c r="U69" s="134"/>
      <c r="V69" s="134"/>
      <c r="W69" s="134"/>
      <c r="X69" s="134"/>
      <c r="Y69" s="134"/>
      <c r="Z69" s="134"/>
      <c r="AA69" s="134"/>
      <c r="AB69" s="134"/>
      <c r="AC69" s="288"/>
      <c r="AD69" s="134"/>
    </row>
    <row r="70" ht="15.75" customHeight="1">
      <c r="A70" s="281"/>
      <c r="B70" s="281"/>
      <c r="C70" s="282" t="str">
        <f>IF(INPUT!E52="","",INPUT!E52)</f>
        <v/>
      </c>
      <c r="D70" s="282" t="str">
        <f>IF(INPUT!G52="","",INPUT!G52)</f>
        <v/>
      </c>
      <c r="E70" s="293"/>
      <c r="F70" s="293"/>
      <c r="G70" s="281"/>
      <c r="H70" s="282"/>
      <c r="I70" s="284"/>
      <c r="J70" s="285">
        <f t="shared" si="2"/>
        <v>0</v>
      </c>
      <c r="K70" s="286">
        <f t="shared" si="3"/>
        <v>0</v>
      </c>
      <c r="L70" s="287"/>
      <c r="M70" s="287"/>
      <c r="N70" s="288"/>
      <c r="O70" s="289"/>
      <c r="P70" s="202"/>
      <c r="Q70" s="202"/>
      <c r="R70" s="202"/>
      <c r="S70" s="202"/>
      <c r="T70" s="134"/>
      <c r="U70" s="134"/>
      <c r="V70" s="134"/>
      <c r="W70" s="134"/>
      <c r="X70" s="134"/>
      <c r="Y70" s="134"/>
      <c r="Z70" s="134"/>
      <c r="AA70" s="134"/>
      <c r="AB70" s="134"/>
      <c r="AC70" s="288"/>
      <c r="AD70" s="134"/>
    </row>
    <row r="71" ht="15.75" customHeight="1">
      <c r="A71" s="294" t="s">
        <v>198</v>
      </c>
      <c r="B71" s="260"/>
      <c r="C71" s="260"/>
      <c r="D71" s="295"/>
      <c r="E71" s="211"/>
      <c r="F71" s="294" t="s">
        <v>199</v>
      </c>
      <c r="G71" s="211"/>
      <c r="H71" s="211"/>
      <c r="I71" s="211"/>
      <c r="J71" s="202"/>
      <c r="K71" s="202"/>
      <c r="L71" s="202"/>
      <c r="M71" s="202"/>
      <c r="N71" s="202"/>
      <c r="O71" s="202"/>
      <c r="P71" s="202"/>
      <c r="Q71" s="202"/>
      <c r="R71" s="20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</row>
    <row r="72" ht="15.75" customHeight="1">
      <c r="A72" s="260"/>
      <c r="B72" s="215"/>
      <c r="C72" s="296"/>
      <c r="D72" s="295"/>
      <c r="E72" s="297"/>
      <c r="F72" s="144"/>
      <c r="G72" s="145"/>
      <c r="H72" s="211"/>
      <c r="I72" s="211"/>
      <c r="J72" s="202"/>
      <c r="K72" s="202"/>
      <c r="L72" s="202"/>
      <c r="M72" s="202"/>
      <c r="N72" s="202"/>
      <c r="O72" s="202"/>
      <c r="P72" s="202"/>
      <c r="Q72" s="202"/>
      <c r="R72" s="20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</row>
    <row r="73" ht="15.75" customHeight="1">
      <c r="A73" s="260"/>
      <c r="B73" s="298"/>
      <c r="C73" s="299"/>
      <c r="D73" s="300"/>
      <c r="E73" s="215"/>
      <c r="F73" s="260"/>
      <c r="G73" s="211"/>
      <c r="H73" s="211"/>
      <c r="I73" s="211"/>
      <c r="J73" s="202"/>
      <c r="K73" s="202"/>
      <c r="L73" s="202"/>
      <c r="M73" s="202"/>
      <c r="N73" s="202"/>
      <c r="O73" s="202"/>
      <c r="P73" s="202"/>
      <c r="Q73" s="202"/>
      <c r="R73" s="20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</row>
    <row r="74" ht="15.75" customHeight="1">
      <c r="A74" s="260"/>
      <c r="B74" s="211"/>
      <c r="C74" s="296"/>
      <c r="D74" s="300"/>
      <c r="E74" s="301"/>
      <c r="F74" s="260"/>
      <c r="G74" s="211"/>
      <c r="H74" s="211"/>
      <c r="I74" s="211"/>
      <c r="J74" s="202"/>
      <c r="K74" s="202"/>
      <c r="L74" s="202"/>
      <c r="M74" s="202"/>
      <c r="N74" s="202"/>
      <c r="O74" s="202"/>
      <c r="P74" s="202"/>
      <c r="Q74" s="202"/>
      <c r="R74" s="202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</row>
    <row r="75" ht="15.75" customHeight="1">
      <c r="A75" s="202"/>
      <c r="B75" s="302"/>
      <c r="C75" s="145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</row>
    <row r="76" ht="15.75" customHeight="1">
      <c r="A76" s="134" t="s">
        <v>200</v>
      </c>
      <c r="B76" s="202"/>
      <c r="C76" s="303"/>
      <c r="D76" s="304"/>
      <c r="E76" s="202"/>
      <c r="F76" s="134" t="s">
        <v>200</v>
      </c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</row>
    <row r="77" ht="15.75" customHeight="1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134"/>
      <c r="Y77" s="134"/>
      <c r="Z77" s="134"/>
      <c r="AA77" s="134"/>
      <c r="AB77" s="134"/>
      <c r="AC77" s="134"/>
      <c r="AD77" s="134"/>
    </row>
    <row r="78" ht="15.75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134"/>
      <c r="Y78" s="134"/>
      <c r="Z78" s="134"/>
      <c r="AA78" s="134"/>
      <c r="AB78" s="134"/>
      <c r="AC78" s="134"/>
      <c r="AD78" s="134"/>
    </row>
    <row r="79" ht="15.75" customHeight="1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134"/>
      <c r="Y79" s="134"/>
      <c r="Z79" s="134"/>
      <c r="AA79" s="134"/>
      <c r="AB79" s="134"/>
      <c r="AC79" s="134"/>
      <c r="AD79" s="134"/>
    </row>
    <row r="80" ht="15.75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134"/>
      <c r="Y80" s="134"/>
      <c r="Z80" s="134"/>
      <c r="AA80" s="134"/>
      <c r="AB80" s="134"/>
      <c r="AC80" s="134"/>
      <c r="AD80" s="134"/>
    </row>
    <row r="81" ht="15.75" customHeight="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134"/>
      <c r="Y81" s="134"/>
      <c r="Z81" s="134"/>
      <c r="AA81" s="134"/>
      <c r="AB81" s="134"/>
      <c r="AC81" s="134"/>
      <c r="AD81" s="134"/>
    </row>
    <row r="82" ht="15.75" customHeight="1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134"/>
      <c r="Y82" s="134"/>
      <c r="Z82" s="134"/>
      <c r="AA82" s="134"/>
      <c r="AB82" s="134"/>
      <c r="AC82" s="134"/>
      <c r="AD82" s="134"/>
    </row>
    <row r="83" ht="15.75" customHeight="1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134"/>
      <c r="Y83" s="134"/>
      <c r="Z83" s="134"/>
      <c r="AA83" s="134"/>
      <c r="AB83" s="134"/>
      <c r="AC83" s="134"/>
      <c r="AD83" s="134"/>
    </row>
    <row r="84" ht="15.75" customHeight="1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134"/>
      <c r="Y84" s="134"/>
      <c r="Z84" s="134"/>
      <c r="AA84" s="134"/>
      <c r="AB84" s="134"/>
      <c r="AC84" s="134"/>
      <c r="AD84" s="134"/>
    </row>
    <row r="85" ht="15.75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134"/>
      <c r="Y85" s="134"/>
      <c r="Z85" s="134"/>
      <c r="AA85" s="134"/>
      <c r="AB85" s="134"/>
      <c r="AC85" s="134"/>
      <c r="AD85" s="134"/>
    </row>
    <row r="86" ht="15.75" customHeight="1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134"/>
      <c r="Y86" s="134"/>
      <c r="Z86" s="134"/>
      <c r="AA86" s="134"/>
      <c r="AB86" s="134"/>
      <c r="AC86" s="134"/>
      <c r="AD86" s="134"/>
    </row>
    <row r="87" ht="15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134"/>
      <c r="Y87" s="134"/>
      <c r="Z87" s="134"/>
      <c r="AA87" s="134"/>
      <c r="AB87" s="134"/>
      <c r="AC87" s="134"/>
      <c r="AD87" s="134"/>
    </row>
    <row r="88" ht="15.75" customHeight="1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134"/>
      <c r="Y88" s="134"/>
      <c r="Z88" s="134"/>
      <c r="AA88" s="134"/>
      <c r="AB88" s="134"/>
      <c r="AC88" s="134"/>
      <c r="AD88" s="134"/>
    </row>
    <row r="89" ht="15.75" customHeight="1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134"/>
      <c r="Y89" s="134"/>
      <c r="Z89" s="134"/>
      <c r="AA89" s="134"/>
      <c r="AB89" s="134"/>
      <c r="AC89" s="134"/>
      <c r="AD89" s="134"/>
    </row>
    <row r="90" ht="15.75" customHeight="1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134"/>
      <c r="Y90" s="134"/>
      <c r="Z90" s="134"/>
      <c r="AA90" s="134"/>
      <c r="AB90" s="134"/>
      <c r="AC90" s="134"/>
      <c r="AD90" s="134"/>
    </row>
    <row r="91" ht="15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134"/>
      <c r="Y91" s="134"/>
      <c r="Z91" s="134"/>
      <c r="AA91" s="134"/>
      <c r="AB91" s="134"/>
      <c r="AC91" s="134"/>
      <c r="AD91" s="134"/>
    </row>
    <row r="92" ht="15.75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134"/>
      <c r="Y92" s="134"/>
      <c r="Z92" s="134"/>
      <c r="AA92" s="134"/>
      <c r="AB92" s="134"/>
      <c r="AC92" s="134"/>
      <c r="AD92" s="134"/>
    </row>
    <row r="93" ht="15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134"/>
      <c r="Y93" s="134"/>
      <c r="Z93" s="134"/>
      <c r="AA93" s="134"/>
      <c r="AB93" s="134"/>
      <c r="AC93" s="134"/>
      <c r="AD93" s="134"/>
    </row>
    <row r="94" ht="15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134"/>
      <c r="Y94" s="134"/>
      <c r="Z94" s="134"/>
      <c r="AA94" s="134"/>
      <c r="AB94" s="134"/>
      <c r="AC94" s="134"/>
      <c r="AD94" s="134"/>
    </row>
    <row r="95" ht="15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134"/>
      <c r="Y95" s="134"/>
      <c r="Z95" s="134"/>
      <c r="AA95" s="134"/>
      <c r="AB95" s="134"/>
      <c r="AC95" s="134"/>
      <c r="AD95" s="134"/>
    </row>
    <row r="96" ht="15.75" customHeight="1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134"/>
      <c r="Y96" s="134"/>
      <c r="Z96" s="134"/>
      <c r="AA96" s="134"/>
      <c r="AB96" s="134"/>
      <c r="AC96" s="134"/>
      <c r="AD96" s="134"/>
    </row>
    <row r="97" ht="15.75" customHeight="1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134"/>
      <c r="Y97" s="134"/>
      <c r="Z97" s="134"/>
      <c r="AA97" s="134"/>
      <c r="AB97" s="134"/>
      <c r="AC97" s="134"/>
      <c r="AD97" s="134"/>
    </row>
    <row r="98" ht="15.75" customHeight="1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134"/>
      <c r="Y98" s="134"/>
      <c r="Z98" s="134"/>
      <c r="AA98" s="134"/>
      <c r="AB98" s="134"/>
      <c r="AC98" s="134"/>
      <c r="AD98" s="134"/>
    </row>
    <row r="99" ht="15.75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134"/>
      <c r="Y99" s="134"/>
      <c r="Z99" s="134"/>
      <c r="AA99" s="134"/>
      <c r="AB99" s="134"/>
      <c r="AC99" s="134"/>
      <c r="AD99" s="134"/>
    </row>
    <row r="100" ht="15.75" customHeight="1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134"/>
      <c r="Y100" s="134"/>
      <c r="Z100" s="134"/>
      <c r="AA100" s="134"/>
      <c r="AB100" s="134"/>
      <c r="AC100" s="134"/>
      <c r="AD100" s="134"/>
    </row>
    <row r="101" ht="15.75" customHeight="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134"/>
      <c r="Y101" s="134"/>
      <c r="Z101" s="134"/>
      <c r="AA101" s="134"/>
      <c r="AB101" s="134"/>
      <c r="AC101" s="134"/>
      <c r="AD101" s="134"/>
    </row>
    <row r="102" ht="15.75" customHeight="1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134"/>
      <c r="Y102" s="134"/>
      <c r="Z102" s="134"/>
      <c r="AA102" s="134"/>
      <c r="AB102" s="134"/>
      <c r="AC102" s="134"/>
      <c r="AD102" s="134"/>
    </row>
    <row r="103" ht="15.75" customHeight="1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134"/>
      <c r="Y103" s="134"/>
      <c r="Z103" s="134"/>
      <c r="AA103" s="134"/>
      <c r="AB103" s="134"/>
      <c r="AC103" s="134"/>
      <c r="AD103" s="134"/>
    </row>
    <row r="104" ht="15.75" customHeight="1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134"/>
      <c r="Y104" s="134"/>
      <c r="Z104" s="134"/>
      <c r="AA104" s="134"/>
      <c r="AB104" s="134"/>
      <c r="AC104" s="134"/>
      <c r="AD104" s="134"/>
    </row>
    <row r="105" ht="15.75" customHeight="1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134"/>
      <c r="Y105" s="134"/>
      <c r="Z105" s="134"/>
      <c r="AA105" s="134"/>
      <c r="AB105" s="134"/>
      <c r="AC105" s="134"/>
      <c r="AD105" s="134"/>
    </row>
    <row r="106" ht="15.75" customHeight="1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134"/>
      <c r="Y106" s="134"/>
      <c r="Z106" s="134"/>
      <c r="AA106" s="134"/>
      <c r="AB106" s="134"/>
      <c r="AC106" s="134"/>
      <c r="AD106" s="134"/>
    </row>
    <row r="107" ht="15.75" customHeight="1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134"/>
      <c r="Y107" s="134"/>
      <c r="Z107" s="134"/>
      <c r="AA107" s="134"/>
      <c r="AB107" s="134"/>
      <c r="AC107" s="134"/>
      <c r="AD107" s="134"/>
    </row>
    <row r="108" ht="15.75" customHeight="1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134"/>
      <c r="Y108" s="134"/>
      <c r="Z108" s="134"/>
      <c r="AA108" s="134"/>
      <c r="AB108" s="134"/>
      <c r="AC108" s="134"/>
      <c r="AD108" s="134"/>
    </row>
    <row r="109" ht="15.75" customHeight="1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134"/>
      <c r="Y109" s="134"/>
      <c r="Z109" s="134"/>
      <c r="AA109" s="134"/>
      <c r="AB109" s="134"/>
      <c r="AC109" s="134"/>
      <c r="AD109" s="134"/>
    </row>
    <row r="110" ht="15.75" customHeight="1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134"/>
      <c r="Y110" s="134"/>
      <c r="Z110" s="134"/>
      <c r="AA110" s="134"/>
      <c r="AB110" s="134"/>
      <c r="AC110" s="134"/>
      <c r="AD110" s="134"/>
    </row>
    <row r="111" ht="15.75" customHeight="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134"/>
      <c r="Y111" s="134"/>
      <c r="Z111" s="134"/>
      <c r="AA111" s="134"/>
      <c r="AB111" s="134"/>
      <c r="AC111" s="134"/>
      <c r="AD111" s="134"/>
    </row>
    <row r="112" ht="15.75" customHeight="1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134"/>
      <c r="Y112" s="134"/>
      <c r="Z112" s="134"/>
      <c r="AA112" s="134"/>
      <c r="AB112" s="134"/>
      <c r="AC112" s="134"/>
      <c r="AD112" s="134"/>
    </row>
    <row r="113" ht="15.75" customHeight="1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134"/>
      <c r="Y113" s="134"/>
      <c r="Z113" s="134"/>
      <c r="AA113" s="134"/>
      <c r="AB113" s="134"/>
      <c r="AC113" s="134"/>
      <c r="AD113" s="134"/>
    </row>
    <row r="114" ht="15.75" customHeight="1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134"/>
      <c r="Y114" s="134"/>
      <c r="Z114" s="134"/>
      <c r="AA114" s="134"/>
      <c r="AB114" s="134"/>
      <c r="AC114" s="134"/>
      <c r="AD114" s="134"/>
    </row>
    <row r="115" ht="15.75" customHeight="1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134"/>
      <c r="Y115" s="134"/>
      <c r="Z115" s="134"/>
      <c r="AA115" s="134"/>
      <c r="AB115" s="134"/>
      <c r="AC115" s="134"/>
      <c r="AD115" s="134"/>
    </row>
    <row r="116" ht="15.75" customHeight="1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134"/>
      <c r="Y116" s="134"/>
      <c r="Z116" s="134"/>
      <c r="AA116" s="134"/>
      <c r="AB116" s="134"/>
      <c r="AC116" s="134"/>
      <c r="AD116" s="134"/>
    </row>
    <row r="117" ht="15.75" customHeight="1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134"/>
      <c r="Y117" s="134"/>
      <c r="Z117" s="134"/>
      <c r="AA117" s="134"/>
      <c r="AB117" s="134"/>
      <c r="AC117" s="134"/>
      <c r="AD117" s="134"/>
    </row>
    <row r="118" ht="15.75" customHeight="1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134"/>
      <c r="Y118" s="134"/>
      <c r="Z118" s="134"/>
      <c r="AA118" s="134"/>
      <c r="AB118" s="134"/>
      <c r="AC118" s="134"/>
      <c r="AD118" s="134"/>
    </row>
    <row r="119" ht="15.75" customHeight="1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134"/>
      <c r="Y119" s="134"/>
      <c r="Z119" s="134"/>
      <c r="AA119" s="134"/>
      <c r="AB119" s="134"/>
      <c r="AC119" s="134"/>
      <c r="AD119" s="134"/>
    </row>
    <row r="120" ht="15.75" customHeight="1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134"/>
      <c r="Y120" s="134"/>
      <c r="Z120" s="134"/>
      <c r="AA120" s="134"/>
      <c r="AB120" s="134"/>
      <c r="AC120" s="134"/>
      <c r="AD120" s="134"/>
    </row>
    <row r="121" ht="15.75" customHeight="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134"/>
      <c r="Y121" s="134"/>
      <c r="Z121" s="134"/>
      <c r="AA121" s="134"/>
      <c r="AB121" s="134"/>
      <c r="AC121" s="134"/>
      <c r="AD121" s="134"/>
    </row>
    <row r="122" ht="15.75" customHeight="1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134"/>
      <c r="Y122" s="134"/>
      <c r="Z122" s="134"/>
      <c r="AA122" s="134"/>
      <c r="AB122" s="134"/>
      <c r="AC122" s="134"/>
      <c r="AD122" s="134"/>
    </row>
    <row r="123" ht="15.75" customHeight="1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134"/>
      <c r="Y123" s="134"/>
      <c r="Z123" s="134"/>
      <c r="AA123" s="134"/>
      <c r="AB123" s="134"/>
      <c r="AC123" s="134"/>
      <c r="AD123" s="134"/>
    </row>
    <row r="124" ht="15.75" customHeight="1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134"/>
      <c r="Y124" s="134"/>
      <c r="Z124" s="134"/>
      <c r="AA124" s="134"/>
      <c r="AB124" s="134"/>
      <c r="AC124" s="134"/>
      <c r="AD124" s="134"/>
    </row>
    <row r="125" ht="15.75" customHeight="1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134"/>
      <c r="Y125" s="134"/>
      <c r="Z125" s="134"/>
      <c r="AA125" s="134"/>
      <c r="AB125" s="134"/>
      <c r="AC125" s="134"/>
      <c r="AD125" s="134"/>
    </row>
    <row r="126" ht="15.75" customHeight="1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134"/>
      <c r="Y126" s="134"/>
      <c r="Z126" s="134"/>
      <c r="AA126" s="134"/>
      <c r="AB126" s="134"/>
      <c r="AC126" s="134"/>
      <c r="AD126" s="134"/>
    </row>
    <row r="127" ht="15.75" customHeight="1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134"/>
      <c r="Y127" s="134"/>
      <c r="Z127" s="134"/>
      <c r="AA127" s="134"/>
      <c r="AB127" s="134"/>
      <c r="AC127" s="134"/>
      <c r="AD127" s="134"/>
    </row>
    <row r="128" ht="15.75" customHeight="1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134"/>
      <c r="Y128" s="134"/>
      <c r="Z128" s="134"/>
      <c r="AA128" s="134"/>
      <c r="AB128" s="134"/>
      <c r="AC128" s="134"/>
      <c r="AD128" s="134"/>
    </row>
    <row r="129" ht="15.75" customHeight="1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134"/>
      <c r="Y129" s="134"/>
      <c r="Z129" s="134"/>
      <c r="AA129" s="134"/>
      <c r="AB129" s="134"/>
      <c r="AC129" s="134"/>
      <c r="AD129" s="134"/>
    </row>
    <row r="130" ht="15.75" customHeight="1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134"/>
      <c r="Y130" s="134"/>
      <c r="Z130" s="134"/>
      <c r="AA130" s="134"/>
      <c r="AB130" s="134"/>
      <c r="AC130" s="134"/>
      <c r="AD130" s="134"/>
    </row>
    <row r="131" ht="15.75" customHeight="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134"/>
      <c r="Y131" s="134"/>
      <c r="Z131" s="134"/>
      <c r="AA131" s="134"/>
      <c r="AB131" s="134"/>
      <c r="AC131" s="134"/>
      <c r="AD131" s="134"/>
    </row>
    <row r="132" ht="15.75" customHeight="1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134"/>
      <c r="Y132" s="134"/>
      <c r="Z132" s="134"/>
      <c r="AA132" s="134"/>
      <c r="AB132" s="134"/>
      <c r="AC132" s="134"/>
      <c r="AD132" s="134"/>
    </row>
    <row r="133" ht="15.75" customHeight="1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134"/>
      <c r="Y133" s="134"/>
      <c r="Z133" s="134"/>
      <c r="AA133" s="134"/>
      <c r="AB133" s="134"/>
      <c r="AC133" s="134"/>
      <c r="AD133" s="134"/>
    </row>
    <row r="134" ht="15.75" customHeight="1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134"/>
      <c r="Y134" s="134"/>
      <c r="Z134" s="134"/>
      <c r="AA134" s="134"/>
      <c r="AB134" s="134"/>
      <c r="AC134" s="134"/>
      <c r="AD134" s="134"/>
    </row>
    <row r="135" ht="15.75" customHeight="1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134"/>
      <c r="Y135" s="134"/>
      <c r="Z135" s="134"/>
      <c r="AA135" s="134"/>
      <c r="AB135" s="134"/>
      <c r="AC135" s="134"/>
      <c r="AD135" s="134"/>
    </row>
    <row r="136" ht="15.75" customHeight="1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134"/>
      <c r="Y136" s="134"/>
      <c r="Z136" s="134"/>
      <c r="AA136" s="134"/>
      <c r="AB136" s="134"/>
      <c r="AC136" s="134"/>
      <c r="AD136" s="134"/>
    </row>
    <row r="137" ht="15.75" customHeight="1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134"/>
      <c r="Y137" s="134"/>
      <c r="Z137" s="134"/>
      <c r="AA137" s="134"/>
      <c r="AB137" s="134"/>
      <c r="AC137" s="134"/>
      <c r="AD137" s="134"/>
    </row>
    <row r="138" ht="15.75" customHeight="1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134"/>
      <c r="Y138" s="134"/>
      <c r="Z138" s="134"/>
      <c r="AA138" s="134"/>
      <c r="AB138" s="134"/>
      <c r="AC138" s="134"/>
      <c r="AD138" s="134"/>
    </row>
    <row r="139" ht="15.75" customHeight="1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134"/>
      <c r="Y139" s="134"/>
      <c r="Z139" s="134"/>
      <c r="AA139" s="134"/>
      <c r="AB139" s="134"/>
      <c r="AC139" s="134"/>
      <c r="AD139" s="134"/>
    </row>
    <row r="140" ht="15.75" customHeight="1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134"/>
      <c r="Y140" s="134"/>
      <c r="Z140" s="134"/>
      <c r="AA140" s="134"/>
      <c r="AB140" s="134"/>
      <c r="AC140" s="134"/>
      <c r="AD140" s="134"/>
    </row>
    <row r="141" ht="15.75" customHeight="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134"/>
      <c r="Y141" s="134"/>
      <c r="Z141" s="134"/>
      <c r="AA141" s="134"/>
      <c r="AB141" s="134"/>
      <c r="AC141" s="134"/>
      <c r="AD141" s="134"/>
    </row>
    <row r="142" ht="15.75" customHeight="1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134"/>
      <c r="Y142" s="134"/>
      <c r="Z142" s="134"/>
      <c r="AA142" s="134"/>
      <c r="AB142" s="134"/>
      <c r="AC142" s="134"/>
      <c r="AD142" s="134"/>
    </row>
    <row r="143" ht="15.75" customHeight="1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134"/>
      <c r="Y143" s="134"/>
      <c r="Z143" s="134"/>
      <c r="AA143" s="134"/>
      <c r="AB143" s="134"/>
      <c r="AC143" s="134"/>
      <c r="AD143" s="134"/>
    </row>
    <row r="144" ht="15.75" customHeight="1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134"/>
      <c r="Y144" s="134"/>
      <c r="Z144" s="134"/>
      <c r="AA144" s="134"/>
      <c r="AB144" s="134"/>
      <c r="AC144" s="134"/>
      <c r="AD144" s="134"/>
    </row>
    <row r="145" ht="15.75" customHeight="1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134"/>
      <c r="Y145" s="134"/>
      <c r="Z145" s="134"/>
      <c r="AA145" s="134"/>
      <c r="AB145" s="134"/>
      <c r="AC145" s="134"/>
      <c r="AD145" s="134"/>
    </row>
    <row r="146" ht="15.75" customHeight="1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134"/>
      <c r="Y146" s="134"/>
      <c r="Z146" s="134"/>
      <c r="AA146" s="134"/>
      <c r="AB146" s="134"/>
      <c r="AC146" s="134"/>
      <c r="AD146" s="134"/>
    </row>
    <row r="147" ht="15.75" customHeight="1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134"/>
      <c r="Y147" s="134"/>
      <c r="Z147" s="134"/>
      <c r="AA147" s="134"/>
      <c r="AB147" s="134"/>
      <c r="AC147" s="134"/>
      <c r="AD147" s="134"/>
    </row>
    <row r="148" ht="15.75" customHeight="1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134"/>
      <c r="Y148" s="134"/>
      <c r="Z148" s="134"/>
      <c r="AA148" s="134"/>
      <c r="AB148" s="134"/>
      <c r="AC148" s="134"/>
      <c r="AD148" s="134"/>
    </row>
    <row r="149" ht="15.75" customHeight="1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134"/>
      <c r="Y149" s="134"/>
      <c r="Z149" s="134"/>
      <c r="AA149" s="134"/>
      <c r="AB149" s="134"/>
      <c r="AC149" s="134"/>
      <c r="AD149" s="134"/>
    </row>
    <row r="150" ht="15.75" customHeight="1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134"/>
      <c r="Y150" s="134"/>
      <c r="Z150" s="134"/>
      <c r="AA150" s="134"/>
      <c r="AB150" s="134"/>
      <c r="AC150" s="134"/>
      <c r="AD150" s="134"/>
    </row>
    <row r="151" ht="15.75" customHeight="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134"/>
      <c r="Y151" s="134"/>
      <c r="Z151" s="134"/>
      <c r="AA151" s="134"/>
      <c r="AB151" s="134"/>
      <c r="AC151" s="134"/>
      <c r="AD151" s="134"/>
    </row>
    <row r="152" ht="15.75" customHeight="1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134"/>
      <c r="Y152" s="134"/>
      <c r="Z152" s="134"/>
      <c r="AA152" s="134"/>
      <c r="AB152" s="134"/>
      <c r="AC152" s="134"/>
      <c r="AD152" s="134"/>
    </row>
    <row r="153" ht="15.75" customHeight="1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134"/>
      <c r="Y153" s="134"/>
      <c r="Z153" s="134"/>
      <c r="AA153" s="134"/>
      <c r="AB153" s="134"/>
      <c r="AC153" s="134"/>
      <c r="AD153" s="134"/>
    </row>
    <row r="154" ht="15.75" customHeight="1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134"/>
      <c r="Y154" s="134"/>
      <c r="Z154" s="134"/>
      <c r="AA154" s="134"/>
      <c r="AB154" s="134"/>
      <c r="AC154" s="134"/>
      <c r="AD154" s="134"/>
    </row>
    <row r="155" ht="15.75" customHeight="1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134"/>
      <c r="Y155" s="134"/>
      <c r="Z155" s="134"/>
      <c r="AA155" s="134"/>
      <c r="AB155" s="134"/>
      <c r="AC155" s="134"/>
      <c r="AD155" s="134"/>
    </row>
    <row r="156" ht="15.75" customHeight="1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134"/>
      <c r="Y156" s="134"/>
      <c r="Z156" s="134"/>
      <c r="AA156" s="134"/>
      <c r="AB156" s="134"/>
      <c r="AC156" s="134"/>
      <c r="AD156" s="134"/>
    </row>
    <row r="157" ht="15.75" customHeight="1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134"/>
      <c r="Y157" s="134"/>
      <c r="Z157" s="134"/>
      <c r="AA157" s="134"/>
      <c r="AB157" s="134"/>
      <c r="AC157" s="134"/>
      <c r="AD157" s="134"/>
    </row>
    <row r="158" ht="15.75" customHeight="1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134"/>
      <c r="Y158" s="134"/>
      <c r="Z158" s="134"/>
      <c r="AA158" s="134"/>
      <c r="AB158" s="134"/>
      <c r="AC158" s="134"/>
      <c r="AD158" s="134"/>
    </row>
    <row r="159" ht="15.75" customHeight="1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134"/>
      <c r="Y159" s="134"/>
      <c r="Z159" s="134"/>
      <c r="AA159" s="134"/>
      <c r="AB159" s="134"/>
      <c r="AC159" s="134"/>
      <c r="AD159" s="134"/>
    </row>
    <row r="160" ht="15.75" customHeight="1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134"/>
      <c r="Y160" s="134"/>
      <c r="Z160" s="134"/>
      <c r="AA160" s="134"/>
      <c r="AB160" s="134"/>
      <c r="AC160" s="134"/>
      <c r="AD160" s="134"/>
    </row>
    <row r="161" ht="15.75" customHeight="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134"/>
      <c r="Y161" s="134"/>
      <c r="Z161" s="134"/>
      <c r="AA161" s="134"/>
      <c r="AB161" s="134"/>
      <c r="AC161" s="134"/>
      <c r="AD161" s="134"/>
    </row>
    <row r="162" ht="15.75" customHeight="1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134"/>
      <c r="Y162" s="134"/>
      <c r="Z162" s="134"/>
      <c r="AA162" s="134"/>
      <c r="AB162" s="134"/>
      <c r="AC162" s="134"/>
      <c r="AD162" s="134"/>
    </row>
    <row r="163" ht="15.75" customHeight="1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134"/>
      <c r="Y163" s="134"/>
      <c r="Z163" s="134"/>
      <c r="AA163" s="134"/>
      <c r="AB163" s="134"/>
      <c r="AC163" s="134"/>
      <c r="AD163" s="134"/>
    </row>
    <row r="164" ht="15.75" customHeight="1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134"/>
      <c r="Y164" s="134"/>
      <c r="Z164" s="134"/>
      <c r="AA164" s="134"/>
      <c r="AB164" s="134"/>
      <c r="AC164" s="134"/>
      <c r="AD164" s="134"/>
    </row>
    <row r="165" ht="15.75" customHeight="1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134"/>
      <c r="Y165" s="134"/>
      <c r="Z165" s="134"/>
      <c r="AA165" s="134"/>
      <c r="AB165" s="134"/>
      <c r="AC165" s="134"/>
      <c r="AD165" s="134"/>
    </row>
    <row r="166" ht="15.75" customHeight="1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134"/>
      <c r="Y166" s="134"/>
      <c r="Z166" s="134"/>
      <c r="AA166" s="134"/>
      <c r="AB166" s="134"/>
      <c r="AC166" s="134"/>
      <c r="AD166" s="134"/>
    </row>
    <row r="167" ht="15.75" customHeight="1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134"/>
      <c r="Y167" s="134"/>
      <c r="Z167" s="134"/>
      <c r="AA167" s="134"/>
      <c r="AB167" s="134"/>
      <c r="AC167" s="134"/>
      <c r="AD167" s="134"/>
    </row>
    <row r="168" ht="15.75" customHeight="1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134"/>
      <c r="Y168" s="134"/>
      <c r="Z168" s="134"/>
      <c r="AA168" s="134"/>
      <c r="AB168" s="134"/>
      <c r="AC168" s="134"/>
      <c r="AD168" s="134"/>
    </row>
    <row r="169" ht="15.75" customHeight="1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134"/>
      <c r="Y169" s="134"/>
      <c r="Z169" s="134"/>
      <c r="AA169" s="134"/>
      <c r="AB169" s="134"/>
      <c r="AC169" s="134"/>
      <c r="AD169" s="134"/>
    </row>
    <row r="170" ht="15.75" customHeight="1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134"/>
      <c r="Y170" s="134"/>
      <c r="Z170" s="134"/>
      <c r="AA170" s="134"/>
      <c r="AB170" s="134"/>
      <c r="AC170" s="134"/>
      <c r="AD170" s="134"/>
    </row>
    <row r="171" ht="15.75" customHeight="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134"/>
      <c r="Y171" s="134"/>
      <c r="Z171" s="134"/>
      <c r="AA171" s="134"/>
      <c r="AB171" s="134"/>
      <c r="AC171" s="134"/>
      <c r="AD171" s="134"/>
    </row>
    <row r="172" ht="15.75" customHeight="1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134"/>
      <c r="Y172" s="134"/>
      <c r="Z172" s="134"/>
      <c r="AA172" s="134"/>
      <c r="AB172" s="134"/>
      <c r="AC172" s="134"/>
      <c r="AD172" s="134"/>
    </row>
    <row r="173" ht="15.75" customHeight="1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134"/>
      <c r="Y173" s="134"/>
      <c r="Z173" s="134"/>
      <c r="AA173" s="134"/>
      <c r="AB173" s="134"/>
      <c r="AC173" s="134"/>
      <c r="AD173" s="134"/>
    </row>
    <row r="174" ht="15.75" customHeight="1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134"/>
      <c r="Y174" s="134"/>
      <c r="Z174" s="134"/>
      <c r="AA174" s="134"/>
      <c r="AB174" s="134"/>
      <c r="AC174" s="134"/>
      <c r="AD174" s="134"/>
    </row>
    <row r="175" ht="15.75" customHeight="1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134"/>
      <c r="Y175" s="134"/>
      <c r="Z175" s="134"/>
      <c r="AA175" s="134"/>
      <c r="AB175" s="134"/>
      <c r="AC175" s="134"/>
      <c r="AD175" s="134"/>
    </row>
    <row r="176" ht="15.75" customHeight="1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134"/>
      <c r="Y176" s="134"/>
      <c r="Z176" s="134"/>
      <c r="AA176" s="134"/>
      <c r="AB176" s="134"/>
      <c r="AC176" s="134"/>
      <c r="AD176" s="134"/>
    </row>
    <row r="177" ht="15.75" customHeight="1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134"/>
      <c r="Y177" s="134"/>
      <c r="Z177" s="134"/>
      <c r="AA177" s="134"/>
      <c r="AB177" s="134"/>
      <c r="AC177" s="134"/>
      <c r="AD177" s="134"/>
    </row>
    <row r="178" ht="15.75" customHeight="1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134"/>
      <c r="Y178" s="134"/>
      <c r="Z178" s="134"/>
      <c r="AA178" s="134"/>
      <c r="AB178" s="134"/>
      <c r="AC178" s="134"/>
      <c r="AD178" s="134"/>
    </row>
    <row r="179" ht="15.75" customHeight="1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134"/>
      <c r="Y179" s="134"/>
      <c r="Z179" s="134"/>
      <c r="AA179" s="134"/>
      <c r="AB179" s="134"/>
      <c r="AC179" s="134"/>
      <c r="AD179" s="134"/>
    </row>
    <row r="180" ht="15.75" customHeight="1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134"/>
      <c r="Y180" s="134"/>
      <c r="Z180" s="134"/>
      <c r="AA180" s="134"/>
      <c r="AB180" s="134"/>
      <c r="AC180" s="134"/>
      <c r="AD180" s="134"/>
    </row>
    <row r="181" ht="15.75" customHeight="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134"/>
      <c r="Y181" s="134"/>
      <c r="Z181" s="134"/>
      <c r="AA181" s="134"/>
      <c r="AB181" s="134"/>
      <c r="AC181" s="134"/>
      <c r="AD181" s="134"/>
    </row>
    <row r="182" ht="15.75" customHeight="1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134"/>
      <c r="Y182" s="134"/>
      <c r="Z182" s="134"/>
      <c r="AA182" s="134"/>
      <c r="AB182" s="134"/>
      <c r="AC182" s="134"/>
      <c r="AD182" s="134"/>
    </row>
    <row r="183" ht="15.75" customHeight="1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134"/>
      <c r="Y183" s="134"/>
      <c r="Z183" s="134"/>
      <c r="AA183" s="134"/>
      <c r="AB183" s="134"/>
      <c r="AC183" s="134"/>
      <c r="AD183" s="134"/>
    </row>
    <row r="184" ht="15.75" customHeight="1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134"/>
      <c r="Y184" s="134"/>
      <c r="Z184" s="134"/>
      <c r="AA184" s="134"/>
      <c r="AB184" s="134"/>
      <c r="AC184" s="134"/>
      <c r="AD184" s="134"/>
    </row>
    <row r="185" ht="15.75" customHeight="1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134"/>
      <c r="Y185" s="134"/>
      <c r="Z185" s="134"/>
      <c r="AA185" s="134"/>
      <c r="AB185" s="134"/>
      <c r="AC185" s="134"/>
      <c r="AD185" s="134"/>
    </row>
    <row r="186" ht="15.75" customHeight="1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134"/>
      <c r="Y186" s="134"/>
      <c r="Z186" s="134"/>
      <c r="AA186" s="134"/>
      <c r="AB186" s="134"/>
      <c r="AC186" s="134"/>
      <c r="AD186" s="134"/>
    </row>
    <row r="187" ht="15.75" customHeight="1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134"/>
      <c r="Y187" s="134"/>
      <c r="Z187" s="134"/>
      <c r="AA187" s="134"/>
      <c r="AB187" s="134"/>
      <c r="AC187" s="134"/>
      <c r="AD187" s="134"/>
    </row>
    <row r="188" ht="15.75" customHeight="1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134"/>
      <c r="Y188" s="134"/>
      <c r="Z188" s="134"/>
      <c r="AA188" s="134"/>
      <c r="AB188" s="134"/>
      <c r="AC188" s="134"/>
      <c r="AD188" s="134"/>
    </row>
    <row r="189" ht="15.75" customHeight="1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134"/>
      <c r="Y189" s="134"/>
      <c r="Z189" s="134"/>
      <c r="AA189" s="134"/>
      <c r="AB189" s="134"/>
      <c r="AC189" s="134"/>
      <c r="AD189" s="134"/>
    </row>
    <row r="190" ht="15.75" customHeight="1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134"/>
      <c r="Y190" s="134"/>
      <c r="Z190" s="134"/>
      <c r="AA190" s="134"/>
      <c r="AB190" s="134"/>
      <c r="AC190" s="134"/>
      <c r="AD190" s="134"/>
    </row>
    <row r="191" ht="15.75" customHeight="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134"/>
      <c r="Y191" s="134"/>
      <c r="Z191" s="134"/>
      <c r="AA191" s="134"/>
      <c r="AB191" s="134"/>
      <c r="AC191" s="134"/>
      <c r="AD191" s="134"/>
    </row>
    <row r="192" ht="15.75" customHeight="1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134"/>
      <c r="Y192" s="134"/>
      <c r="Z192" s="134"/>
      <c r="AA192" s="134"/>
      <c r="AB192" s="134"/>
      <c r="AC192" s="134"/>
      <c r="AD192" s="134"/>
    </row>
    <row r="193" ht="15.75" customHeight="1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134"/>
      <c r="Y193" s="134"/>
      <c r="Z193" s="134"/>
      <c r="AA193" s="134"/>
      <c r="AB193" s="134"/>
      <c r="AC193" s="134"/>
      <c r="AD193" s="134"/>
    </row>
    <row r="194" ht="15.75" customHeight="1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134"/>
      <c r="Y194" s="134"/>
      <c r="Z194" s="134"/>
      <c r="AA194" s="134"/>
      <c r="AB194" s="134"/>
      <c r="AC194" s="134"/>
      <c r="AD194" s="134"/>
    </row>
    <row r="195" ht="15.75" customHeight="1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134"/>
      <c r="Y195" s="134"/>
      <c r="Z195" s="134"/>
      <c r="AA195" s="134"/>
      <c r="AB195" s="134"/>
      <c r="AC195" s="134"/>
      <c r="AD195" s="134"/>
    </row>
    <row r="196" ht="15.75" customHeight="1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134"/>
      <c r="Y196" s="134"/>
      <c r="Z196" s="134"/>
      <c r="AA196" s="134"/>
      <c r="AB196" s="134"/>
      <c r="AC196" s="134"/>
      <c r="AD196" s="134"/>
    </row>
    <row r="197" ht="15.75" customHeight="1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134"/>
      <c r="Y197" s="134"/>
      <c r="Z197" s="134"/>
      <c r="AA197" s="134"/>
      <c r="AB197" s="134"/>
      <c r="AC197" s="134"/>
      <c r="AD197" s="134"/>
    </row>
    <row r="198" ht="15.75" customHeight="1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134"/>
      <c r="Y198" s="134"/>
      <c r="Z198" s="134"/>
      <c r="AA198" s="134"/>
      <c r="AB198" s="134"/>
      <c r="AC198" s="134"/>
      <c r="AD198" s="134"/>
    </row>
    <row r="199" ht="15.75" customHeight="1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134"/>
      <c r="Y199" s="134"/>
      <c r="Z199" s="134"/>
      <c r="AA199" s="134"/>
      <c r="AB199" s="134"/>
      <c r="AC199" s="134"/>
      <c r="AD199" s="134"/>
    </row>
    <row r="200" ht="15.75" customHeight="1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134"/>
      <c r="Y200" s="134"/>
      <c r="Z200" s="134"/>
      <c r="AA200" s="134"/>
      <c r="AB200" s="134"/>
      <c r="AC200" s="134"/>
      <c r="AD200" s="134"/>
    </row>
    <row r="201" ht="15.75" customHeight="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134"/>
      <c r="Y201" s="134"/>
      <c r="Z201" s="134"/>
      <c r="AA201" s="134"/>
      <c r="AB201" s="134"/>
      <c r="AC201" s="134"/>
      <c r="AD201" s="134"/>
    </row>
    <row r="202" ht="15.75" customHeight="1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134"/>
      <c r="Y202" s="134"/>
      <c r="Z202" s="134"/>
      <c r="AA202" s="134"/>
      <c r="AB202" s="134"/>
      <c r="AC202" s="134"/>
      <c r="AD202" s="134"/>
    </row>
    <row r="203" ht="15.75" customHeight="1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134"/>
      <c r="Y203" s="134"/>
      <c r="Z203" s="134"/>
      <c r="AA203" s="134"/>
      <c r="AB203" s="134"/>
      <c r="AC203" s="134"/>
      <c r="AD203" s="134"/>
    </row>
    <row r="204" ht="15.75" customHeight="1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134"/>
      <c r="Y204" s="134"/>
      <c r="Z204" s="134"/>
      <c r="AA204" s="134"/>
      <c r="AB204" s="134"/>
      <c r="AC204" s="134"/>
      <c r="AD204" s="134"/>
    </row>
    <row r="205" ht="15.75" customHeight="1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134"/>
      <c r="Y205" s="134"/>
      <c r="Z205" s="134"/>
      <c r="AA205" s="134"/>
      <c r="AB205" s="134"/>
      <c r="AC205" s="134"/>
      <c r="AD205" s="134"/>
    </row>
    <row r="206" ht="15.75" customHeight="1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134"/>
      <c r="Y206" s="134"/>
      <c r="Z206" s="134"/>
      <c r="AA206" s="134"/>
      <c r="AB206" s="134"/>
      <c r="AC206" s="134"/>
      <c r="AD206" s="134"/>
    </row>
    <row r="207" ht="15.75" customHeight="1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134"/>
      <c r="Y207" s="134"/>
      <c r="Z207" s="134"/>
      <c r="AA207" s="134"/>
      <c r="AB207" s="134"/>
      <c r="AC207" s="134"/>
      <c r="AD207" s="134"/>
    </row>
    <row r="208" ht="15.75" customHeight="1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134"/>
      <c r="Y208" s="134"/>
      <c r="Z208" s="134"/>
      <c r="AA208" s="134"/>
      <c r="AB208" s="134"/>
      <c r="AC208" s="134"/>
      <c r="AD208" s="134"/>
    </row>
    <row r="209" ht="15.75" customHeight="1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134"/>
      <c r="Y209" s="134"/>
      <c r="Z209" s="134"/>
      <c r="AA209" s="134"/>
      <c r="AB209" s="134"/>
      <c r="AC209" s="134"/>
      <c r="AD209" s="134"/>
    </row>
    <row r="210" ht="15.75" customHeight="1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134"/>
      <c r="Y210" s="134"/>
      <c r="Z210" s="134"/>
      <c r="AA210" s="134"/>
      <c r="AB210" s="134"/>
      <c r="AC210" s="134"/>
      <c r="AD210" s="134"/>
    </row>
    <row r="211" ht="15.75" customHeight="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134"/>
      <c r="Y211" s="134"/>
      <c r="Z211" s="134"/>
      <c r="AA211" s="134"/>
      <c r="AB211" s="134"/>
      <c r="AC211" s="134"/>
      <c r="AD211" s="134"/>
    </row>
    <row r="212" ht="15.75" customHeight="1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134"/>
      <c r="Y212" s="134"/>
      <c r="Z212" s="134"/>
      <c r="AA212" s="134"/>
      <c r="AB212" s="134"/>
      <c r="AC212" s="134"/>
      <c r="AD212" s="134"/>
    </row>
    <row r="213" ht="15.75" customHeight="1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134"/>
      <c r="Y213" s="134"/>
      <c r="Z213" s="134"/>
      <c r="AA213" s="134"/>
      <c r="AB213" s="134"/>
      <c r="AC213" s="134"/>
      <c r="AD213" s="134"/>
    </row>
    <row r="214" ht="15.75" customHeight="1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134"/>
      <c r="Y214" s="134"/>
      <c r="Z214" s="134"/>
      <c r="AA214" s="134"/>
      <c r="AB214" s="134"/>
      <c r="AC214" s="134"/>
      <c r="AD214" s="134"/>
    </row>
    <row r="215" ht="15.75" customHeight="1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134"/>
      <c r="Y215" s="134"/>
      <c r="Z215" s="134"/>
      <c r="AA215" s="134"/>
      <c r="AB215" s="134"/>
      <c r="AC215" s="134"/>
      <c r="AD215" s="134"/>
    </row>
    <row r="216" ht="15.75" customHeight="1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134"/>
      <c r="Y216" s="134"/>
      <c r="Z216" s="134"/>
      <c r="AA216" s="134"/>
      <c r="AB216" s="134"/>
      <c r="AC216" s="134"/>
      <c r="AD216" s="134"/>
    </row>
    <row r="217" ht="15.75" customHeight="1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134"/>
      <c r="Y217" s="134"/>
      <c r="Z217" s="134"/>
      <c r="AA217" s="134"/>
      <c r="AB217" s="134"/>
      <c r="AC217" s="134"/>
      <c r="AD217" s="134"/>
    </row>
    <row r="218" ht="15.75" customHeight="1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134"/>
      <c r="Y218" s="134"/>
      <c r="Z218" s="134"/>
      <c r="AA218" s="134"/>
      <c r="AB218" s="134"/>
      <c r="AC218" s="134"/>
      <c r="AD218" s="134"/>
    </row>
    <row r="219" ht="15.75" customHeight="1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134"/>
      <c r="Y219" s="134"/>
      <c r="Z219" s="134"/>
      <c r="AA219" s="134"/>
      <c r="AB219" s="134"/>
      <c r="AC219" s="134"/>
      <c r="AD219" s="134"/>
    </row>
    <row r="220" ht="15.75" customHeight="1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134"/>
      <c r="Y220" s="134"/>
      <c r="Z220" s="134"/>
      <c r="AA220" s="134"/>
      <c r="AB220" s="134"/>
      <c r="AC220" s="134"/>
      <c r="AD220" s="134"/>
    </row>
    <row r="221" ht="15.75" customHeight="1">
      <c r="A221" s="202"/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134"/>
      <c r="Y221" s="134"/>
      <c r="Z221" s="134"/>
      <c r="AA221" s="134"/>
      <c r="AB221" s="134"/>
      <c r="AC221" s="134"/>
      <c r="AD221" s="134"/>
    </row>
    <row r="222" ht="15.75" customHeight="1">
      <c r="A222" s="202"/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134"/>
      <c r="Y222" s="134"/>
      <c r="Z222" s="134"/>
      <c r="AA222" s="134"/>
      <c r="AB222" s="134"/>
      <c r="AC222" s="134"/>
      <c r="AD222" s="134"/>
    </row>
    <row r="223" ht="15.75" customHeight="1">
      <c r="A223" s="202"/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134"/>
      <c r="Y223" s="134"/>
      <c r="Z223" s="134"/>
      <c r="AA223" s="134"/>
      <c r="AB223" s="134"/>
      <c r="AC223" s="134"/>
      <c r="AD223" s="134"/>
    </row>
    <row r="224" ht="15.75" customHeight="1">
      <c r="A224" s="202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134"/>
      <c r="Y224" s="134"/>
      <c r="Z224" s="134"/>
      <c r="AA224" s="134"/>
      <c r="AB224" s="134"/>
      <c r="AC224" s="134"/>
      <c r="AD224" s="134"/>
    </row>
    <row r="225" ht="15.75" customHeight="1">
      <c r="A225" s="202"/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134"/>
      <c r="Y225" s="134"/>
      <c r="Z225" s="134"/>
      <c r="AA225" s="134"/>
      <c r="AB225" s="134"/>
      <c r="AC225" s="134"/>
      <c r="AD225" s="134"/>
    </row>
    <row r="226" ht="15.75" customHeight="1">
      <c r="A226" s="20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134"/>
      <c r="Y226" s="134"/>
      <c r="Z226" s="134"/>
      <c r="AA226" s="134"/>
      <c r="AB226" s="134"/>
      <c r="AC226" s="134"/>
      <c r="AD226" s="134"/>
    </row>
    <row r="227" ht="15.75" customHeight="1">
      <c r="A227" s="202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134"/>
      <c r="Y227" s="134"/>
      <c r="Z227" s="134"/>
      <c r="AA227" s="134"/>
      <c r="AB227" s="134"/>
      <c r="AC227" s="134"/>
      <c r="AD227" s="134"/>
    </row>
    <row r="228" ht="15.75" customHeight="1">
      <c r="A228" s="202"/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134"/>
      <c r="Y228" s="134"/>
      <c r="Z228" s="134"/>
      <c r="AA228" s="134"/>
      <c r="AB228" s="134"/>
      <c r="AC228" s="134"/>
      <c r="AD228" s="134"/>
    </row>
    <row r="229" ht="15.75" customHeight="1">
      <c r="A229" s="202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134"/>
      <c r="Y229" s="134"/>
      <c r="Z229" s="134"/>
      <c r="AA229" s="134"/>
      <c r="AB229" s="134"/>
      <c r="AC229" s="134"/>
      <c r="AD229" s="134"/>
    </row>
    <row r="230" ht="15.75" customHeight="1">
      <c r="A230" s="202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134"/>
      <c r="Y230" s="134"/>
      <c r="Z230" s="134"/>
      <c r="AA230" s="134"/>
      <c r="AB230" s="134"/>
      <c r="AC230" s="134"/>
      <c r="AD230" s="134"/>
    </row>
    <row r="231" ht="15.75" customHeight="1">
      <c r="A231" s="202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134"/>
      <c r="Y231" s="134"/>
      <c r="Z231" s="134"/>
      <c r="AA231" s="134"/>
      <c r="AB231" s="134"/>
      <c r="AC231" s="134"/>
      <c r="AD231" s="134"/>
    </row>
    <row r="232" ht="15.75" customHeight="1">
      <c r="A232" s="202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134"/>
      <c r="Y232" s="134"/>
      <c r="Z232" s="134"/>
      <c r="AA232" s="134"/>
      <c r="AB232" s="134"/>
      <c r="AC232" s="134"/>
      <c r="AD232" s="134"/>
    </row>
    <row r="233" ht="15.75" customHeight="1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134"/>
      <c r="Y233" s="134"/>
      <c r="Z233" s="134"/>
      <c r="AA233" s="134"/>
      <c r="AB233" s="134"/>
      <c r="AC233" s="134"/>
      <c r="AD233" s="134"/>
    </row>
    <row r="234" ht="15.75" customHeight="1">
      <c r="A234" s="202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134"/>
      <c r="Y234" s="134"/>
      <c r="Z234" s="134"/>
      <c r="AA234" s="134"/>
      <c r="AB234" s="134"/>
      <c r="AC234" s="134"/>
      <c r="AD234" s="134"/>
    </row>
    <row r="235" ht="15.75" customHeight="1">
      <c r="A235" s="202"/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134"/>
      <c r="Y235" s="134"/>
      <c r="Z235" s="134"/>
      <c r="AA235" s="134"/>
      <c r="AB235" s="134"/>
      <c r="AC235" s="134"/>
      <c r="AD235" s="134"/>
    </row>
    <row r="236" ht="15.75" customHeight="1">
      <c r="A236" s="202"/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134"/>
      <c r="Y236" s="134"/>
      <c r="Z236" s="134"/>
      <c r="AA236" s="134"/>
      <c r="AB236" s="134"/>
      <c r="AC236" s="134"/>
      <c r="AD236" s="134"/>
    </row>
    <row r="237" ht="15.75" customHeight="1">
      <c r="A237" s="202"/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134"/>
      <c r="Y237" s="134"/>
      <c r="Z237" s="134"/>
      <c r="AA237" s="134"/>
      <c r="AB237" s="134"/>
      <c r="AC237" s="134"/>
      <c r="AD237" s="134"/>
    </row>
    <row r="238" ht="15.75" customHeight="1">
      <c r="A238" s="202"/>
      <c r="B238" s="202"/>
      <c r="C238" s="202"/>
      <c r="D238" s="202"/>
      <c r="E238" s="202"/>
      <c r="F238" s="202"/>
      <c r="G238" s="202"/>
      <c r="H238" s="202"/>
      <c r="I238" s="202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134"/>
      <c r="Y238" s="134"/>
      <c r="Z238" s="134"/>
      <c r="AA238" s="134"/>
      <c r="AB238" s="134"/>
      <c r="AC238" s="134"/>
      <c r="AD238" s="134"/>
    </row>
    <row r="239" ht="15.75" customHeight="1">
      <c r="A239" s="202"/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134"/>
      <c r="Y239" s="134"/>
      <c r="Z239" s="134"/>
      <c r="AA239" s="134"/>
      <c r="AB239" s="134"/>
      <c r="AC239" s="134"/>
      <c r="AD239" s="134"/>
    </row>
    <row r="240" ht="15.75" customHeight="1">
      <c r="A240" s="202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134"/>
      <c r="Y240" s="134"/>
      <c r="Z240" s="134"/>
      <c r="AA240" s="134"/>
      <c r="AB240" s="134"/>
      <c r="AC240" s="134"/>
      <c r="AD240" s="134"/>
    </row>
    <row r="241" ht="15.75" customHeight="1">
      <c r="A241" s="202"/>
      <c r="B241" s="202"/>
      <c r="C241" s="202"/>
      <c r="D241" s="202"/>
      <c r="E241" s="202"/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134"/>
      <c r="Y241" s="134"/>
      <c r="Z241" s="134"/>
      <c r="AA241" s="134"/>
      <c r="AB241" s="134"/>
      <c r="AC241" s="134"/>
      <c r="AD241" s="134"/>
    </row>
    <row r="242" ht="15.75" customHeight="1">
      <c r="A242" s="202"/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134"/>
      <c r="Y242" s="134"/>
      <c r="Z242" s="134"/>
      <c r="AA242" s="134"/>
      <c r="AB242" s="134"/>
      <c r="AC242" s="134"/>
      <c r="AD242" s="134"/>
    </row>
    <row r="243" ht="15.75" customHeight="1">
      <c r="A243" s="202"/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134"/>
      <c r="Y243" s="134"/>
      <c r="Z243" s="134"/>
      <c r="AA243" s="134"/>
      <c r="AB243" s="134"/>
      <c r="AC243" s="134"/>
      <c r="AD243" s="134"/>
    </row>
    <row r="244" ht="15.75" customHeight="1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134"/>
      <c r="Y244" s="134"/>
      <c r="Z244" s="134"/>
      <c r="AA244" s="134"/>
      <c r="AB244" s="134"/>
      <c r="AC244" s="134"/>
      <c r="AD244" s="134"/>
    </row>
    <row r="245" ht="15.75" customHeight="1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134"/>
      <c r="Y245" s="134"/>
      <c r="Z245" s="134"/>
      <c r="AA245" s="134"/>
      <c r="AB245" s="134"/>
      <c r="AC245" s="134"/>
      <c r="AD245" s="134"/>
    </row>
    <row r="246" ht="15.75" customHeight="1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134"/>
      <c r="Y246" s="134"/>
      <c r="Z246" s="134"/>
      <c r="AA246" s="134"/>
      <c r="AB246" s="134"/>
      <c r="AC246" s="134"/>
      <c r="AD246" s="134"/>
    </row>
    <row r="247" ht="15.75" customHeight="1">
      <c r="A247" s="202"/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134"/>
      <c r="Y247" s="134"/>
      <c r="Z247" s="134"/>
      <c r="AA247" s="134"/>
      <c r="AB247" s="134"/>
      <c r="AC247" s="134"/>
      <c r="AD247" s="134"/>
    </row>
    <row r="248" ht="15.75" customHeight="1">
      <c r="A248" s="202"/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134"/>
      <c r="Y248" s="134"/>
      <c r="Z248" s="134"/>
      <c r="AA248" s="134"/>
      <c r="AB248" s="134"/>
      <c r="AC248" s="134"/>
      <c r="AD248" s="134"/>
    </row>
    <row r="249" ht="15.75" customHeight="1">
      <c r="A249" s="202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134"/>
      <c r="Y249" s="134"/>
      <c r="Z249" s="134"/>
      <c r="AA249" s="134"/>
      <c r="AB249" s="134"/>
      <c r="AC249" s="134"/>
      <c r="AD249" s="134"/>
    </row>
    <row r="250" ht="15.75" customHeight="1">
      <c r="A250" s="202"/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134"/>
      <c r="Y250" s="134"/>
      <c r="Z250" s="134"/>
      <c r="AA250" s="134"/>
      <c r="AB250" s="134"/>
      <c r="AC250" s="134"/>
      <c r="AD250" s="134"/>
    </row>
    <row r="251" ht="15.75" customHeight="1">
      <c r="A251" s="202"/>
      <c r="B251" s="202"/>
      <c r="C251" s="202"/>
      <c r="D251" s="202"/>
      <c r="E251" s="202"/>
      <c r="F251" s="202"/>
      <c r="G251" s="202"/>
      <c r="H251" s="202"/>
      <c r="I251" s="202"/>
      <c r="J251" s="202"/>
      <c r="K251" s="202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134"/>
      <c r="Y251" s="134"/>
      <c r="Z251" s="134"/>
      <c r="AA251" s="134"/>
      <c r="AB251" s="134"/>
      <c r="AC251" s="134"/>
      <c r="AD251" s="134"/>
    </row>
    <row r="252" ht="15.75" customHeight="1">
      <c r="A252" s="202"/>
      <c r="B252" s="202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134"/>
      <c r="Y252" s="134"/>
      <c r="Z252" s="134"/>
      <c r="AA252" s="134"/>
      <c r="AB252" s="134"/>
      <c r="AC252" s="134"/>
      <c r="AD252" s="134"/>
    </row>
    <row r="253" ht="15.75" customHeight="1">
      <c r="A253" s="202"/>
      <c r="B253" s="202"/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134"/>
      <c r="Y253" s="134"/>
      <c r="Z253" s="134"/>
      <c r="AA253" s="134"/>
      <c r="AB253" s="134"/>
      <c r="AC253" s="134"/>
      <c r="AD253" s="134"/>
    </row>
    <row r="254" ht="15.75" customHeight="1">
      <c r="A254" s="202"/>
      <c r="B254" s="202"/>
      <c r="C254" s="202"/>
      <c r="D254" s="202"/>
      <c r="E254" s="202"/>
      <c r="F254" s="202"/>
      <c r="G254" s="202"/>
      <c r="H254" s="202"/>
      <c r="I254" s="202"/>
      <c r="J254" s="202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134"/>
      <c r="Y254" s="134"/>
      <c r="Z254" s="134"/>
      <c r="AA254" s="134"/>
      <c r="AB254" s="134"/>
      <c r="AC254" s="134"/>
      <c r="AD254" s="134"/>
    </row>
    <row r="255" ht="15.75" customHeight="1">
      <c r="A255" s="202"/>
      <c r="B255" s="202"/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134"/>
      <c r="Y255" s="134"/>
      <c r="Z255" s="134"/>
      <c r="AA255" s="134"/>
      <c r="AB255" s="134"/>
      <c r="AC255" s="134"/>
      <c r="AD255" s="134"/>
    </row>
    <row r="256" ht="15.75" customHeight="1">
      <c r="A256" s="202"/>
      <c r="B256" s="202"/>
      <c r="C256" s="202"/>
      <c r="D256" s="202"/>
      <c r="E256" s="202"/>
      <c r="F256" s="202"/>
      <c r="G256" s="202"/>
      <c r="H256" s="202"/>
      <c r="I256" s="202"/>
      <c r="J256" s="202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134"/>
      <c r="Y256" s="134"/>
      <c r="Z256" s="134"/>
      <c r="AA256" s="134"/>
      <c r="AB256" s="134"/>
      <c r="AC256" s="134"/>
      <c r="AD256" s="134"/>
    </row>
    <row r="257" ht="15.75" customHeight="1">
      <c r="A257" s="202"/>
      <c r="B257" s="202"/>
      <c r="C257" s="202"/>
      <c r="D257" s="202"/>
      <c r="E257" s="202"/>
      <c r="F257" s="202"/>
      <c r="G257" s="202"/>
      <c r="H257" s="202"/>
      <c r="I257" s="202"/>
      <c r="J257" s="202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134"/>
      <c r="Y257" s="134"/>
      <c r="Z257" s="134"/>
      <c r="AA257" s="134"/>
      <c r="AB257" s="134"/>
      <c r="AC257" s="134"/>
      <c r="AD257" s="134"/>
    </row>
    <row r="258" ht="15.75" customHeight="1">
      <c r="A258" s="202"/>
      <c r="B258" s="202"/>
      <c r="C258" s="202"/>
      <c r="D258" s="202"/>
      <c r="E258" s="202"/>
      <c r="F258" s="202"/>
      <c r="G258" s="202"/>
      <c r="H258" s="202"/>
      <c r="I258" s="202"/>
      <c r="J258" s="202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134"/>
      <c r="Y258" s="134"/>
      <c r="Z258" s="134"/>
      <c r="AA258" s="134"/>
      <c r="AB258" s="134"/>
      <c r="AC258" s="134"/>
      <c r="AD258" s="134"/>
    </row>
    <row r="259" ht="15.75" customHeight="1">
      <c r="A259" s="202"/>
      <c r="B259" s="202"/>
      <c r="C259" s="202"/>
      <c r="D259" s="202"/>
      <c r="E259" s="202"/>
      <c r="F259" s="202"/>
      <c r="G259" s="202"/>
      <c r="H259" s="202"/>
      <c r="I259" s="202"/>
      <c r="J259" s="202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134"/>
      <c r="Y259" s="134"/>
      <c r="Z259" s="134"/>
      <c r="AA259" s="134"/>
      <c r="AB259" s="134"/>
      <c r="AC259" s="134"/>
      <c r="AD259" s="134"/>
    </row>
    <row r="260" ht="15.75" customHeight="1">
      <c r="A260" s="202"/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134"/>
      <c r="Y260" s="134"/>
      <c r="Z260" s="134"/>
      <c r="AA260" s="134"/>
      <c r="AB260" s="134"/>
      <c r="AC260" s="134"/>
      <c r="AD260" s="134"/>
    </row>
    <row r="261" ht="15.75" customHeight="1">
      <c r="A261" s="202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134"/>
      <c r="Y261" s="134"/>
      <c r="Z261" s="134"/>
      <c r="AA261" s="134"/>
      <c r="AB261" s="134"/>
      <c r="AC261" s="134"/>
      <c r="AD261" s="134"/>
    </row>
    <row r="262" ht="15.75" customHeight="1">
      <c r="A262" s="202"/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134"/>
      <c r="Y262" s="134"/>
      <c r="Z262" s="134"/>
      <c r="AA262" s="134"/>
      <c r="AB262" s="134"/>
      <c r="AC262" s="134"/>
      <c r="AD262" s="134"/>
    </row>
    <row r="263" ht="15.75" customHeight="1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134"/>
      <c r="Y263" s="134"/>
      <c r="Z263" s="134"/>
      <c r="AA263" s="134"/>
      <c r="AB263" s="134"/>
      <c r="AC263" s="134"/>
      <c r="AD263" s="134"/>
    </row>
    <row r="264" ht="15.75" customHeight="1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134"/>
      <c r="Y264" s="134"/>
      <c r="Z264" s="134"/>
      <c r="AA264" s="134"/>
      <c r="AB264" s="134"/>
      <c r="AC264" s="134"/>
      <c r="AD264" s="134"/>
    </row>
    <row r="265" ht="15.75" customHeight="1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134"/>
      <c r="Y265" s="134"/>
      <c r="Z265" s="134"/>
      <c r="AA265" s="134"/>
      <c r="AB265" s="134"/>
      <c r="AC265" s="134"/>
      <c r="AD265" s="134"/>
    </row>
    <row r="266" ht="15.75" customHeight="1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134"/>
      <c r="Y266" s="134"/>
      <c r="Z266" s="134"/>
      <c r="AA266" s="134"/>
      <c r="AB266" s="134"/>
      <c r="AC266" s="134"/>
      <c r="AD266" s="134"/>
    </row>
    <row r="267" ht="15.75" customHeight="1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134"/>
      <c r="Y267" s="134"/>
      <c r="Z267" s="134"/>
      <c r="AA267" s="134"/>
      <c r="AB267" s="134"/>
      <c r="AC267" s="134"/>
      <c r="AD267" s="134"/>
    </row>
    <row r="268" ht="15.75" customHeight="1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134"/>
      <c r="Y268" s="134"/>
      <c r="Z268" s="134"/>
      <c r="AA268" s="134"/>
      <c r="AB268" s="134"/>
      <c r="AC268" s="134"/>
      <c r="AD268" s="134"/>
    </row>
    <row r="269" ht="15.75" customHeight="1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134"/>
      <c r="Y269" s="134"/>
      <c r="Z269" s="134"/>
      <c r="AA269" s="134"/>
      <c r="AB269" s="134"/>
      <c r="AC269" s="134"/>
      <c r="AD269" s="134"/>
    </row>
    <row r="270" ht="15.75" customHeight="1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134"/>
      <c r="Y270" s="134"/>
      <c r="Z270" s="134"/>
      <c r="AA270" s="134"/>
      <c r="AB270" s="134"/>
      <c r="AC270" s="134"/>
      <c r="AD270" s="134"/>
    </row>
    <row r="271" ht="15.75" customHeight="1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134"/>
      <c r="Y271" s="134"/>
      <c r="Z271" s="134"/>
      <c r="AA271" s="134"/>
      <c r="AB271" s="134"/>
      <c r="AC271" s="134"/>
      <c r="AD271" s="134"/>
    </row>
    <row r="272" ht="15.75" customHeight="1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134"/>
      <c r="Y272" s="134"/>
      <c r="Z272" s="134"/>
      <c r="AA272" s="134"/>
      <c r="AB272" s="134"/>
      <c r="AC272" s="134"/>
      <c r="AD272" s="134"/>
    </row>
    <row r="273" ht="15.75" customHeight="1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134"/>
      <c r="Y273" s="134"/>
      <c r="Z273" s="134"/>
      <c r="AA273" s="134"/>
      <c r="AB273" s="134"/>
      <c r="AC273" s="134"/>
      <c r="AD273" s="134"/>
    </row>
    <row r="274" ht="15.75" customHeight="1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134"/>
      <c r="Y274" s="134"/>
      <c r="Z274" s="134"/>
      <c r="AA274" s="134"/>
      <c r="AB274" s="134"/>
      <c r="AC274" s="134"/>
      <c r="AD274" s="134"/>
    </row>
    <row r="275" ht="15.75" customHeight="1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134"/>
      <c r="Y275" s="134"/>
      <c r="Z275" s="134"/>
      <c r="AA275" s="134"/>
      <c r="AB275" s="134"/>
      <c r="AC275" s="134"/>
      <c r="AD275" s="134"/>
    </row>
    <row r="276" ht="15.75" customHeight="1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134"/>
      <c r="Y276" s="134"/>
      <c r="Z276" s="134"/>
      <c r="AA276" s="134"/>
      <c r="AB276" s="134"/>
      <c r="AC276" s="134"/>
      <c r="AD276" s="134"/>
    </row>
    <row r="277" ht="15.75" customHeight="1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134"/>
      <c r="Y277" s="134"/>
      <c r="Z277" s="134"/>
      <c r="AA277" s="134"/>
      <c r="AB277" s="134"/>
      <c r="AC277" s="134"/>
      <c r="AD277" s="134"/>
    </row>
    <row r="278" ht="15.75" customHeight="1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134"/>
      <c r="Y278" s="134"/>
      <c r="Z278" s="134"/>
      <c r="AA278" s="134"/>
      <c r="AB278" s="134"/>
      <c r="AC278" s="134"/>
      <c r="AD278" s="134"/>
    </row>
    <row r="279" ht="15.75" customHeight="1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134"/>
      <c r="Y279" s="134"/>
      <c r="Z279" s="134"/>
      <c r="AA279" s="134"/>
      <c r="AB279" s="134"/>
      <c r="AC279" s="134"/>
      <c r="AD279" s="134"/>
    </row>
    <row r="280" ht="15.75" customHeight="1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134"/>
      <c r="Y280" s="134"/>
      <c r="Z280" s="134"/>
      <c r="AA280" s="134"/>
      <c r="AB280" s="134"/>
      <c r="AC280" s="134"/>
      <c r="AD280" s="134"/>
    </row>
    <row r="281" ht="15.75" customHeight="1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134"/>
      <c r="Y281" s="134"/>
      <c r="Z281" s="134"/>
      <c r="AA281" s="134"/>
      <c r="AB281" s="134"/>
      <c r="AC281" s="134"/>
      <c r="AD281" s="134"/>
    </row>
    <row r="282" ht="15.75" customHeight="1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134"/>
      <c r="Y282" s="134"/>
      <c r="Z282" s="134"/>
      <c r="AA282" s="134"/>
      <c r="AB282" s="134"/>
      <c r="AC282" s="134"/>
      <c r="AD282" s="134"/>
    </row>
    <row r="283" ht="15.75" customHeight="1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134"/>
      <c r="Y283" s="134"/>
      <c r="Z283" s="134"/>
      <c r="AA283" s="134"/>
      <c r="AB283" s="134"/>
      <c r="AC283" s="134"/>
      <c r="AD283" s="134"/>
    </row>
    <row r="284" ht="15.75" customHeight="1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134"/>
      <c r="Y284" s="134"/>
      <c r="Z284" s="134"/>
      <c r="AA284" s="134"/>
      <c r="AB284" s="134"/>
      <c r="AC284" s="134"/>
      <c r="AD284" s="134"/>
    </row>
    <row r="285" ht="15.75" customHeight="1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134"/>
      <c r="Y285" s="134"/>
      <c r="Z285" s="134"/>
      <c r="AA285" s="134"/>
      <c r="AB285" s="134"/>
      <c r="AC285" s="134"/>
      <c r="AD285" s="134"/>
    </row>
    <row r="286" ht="15.75" customHeight="1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134"/>
      <c r="Y286" s="134"/>
      <c r="Z286" s="134"/>
      <c r="AA286" s="134"/>
      <c r="AB286" s="134"/>
      <c r="AC286" s="134"/>
      <c r="AD286" s="134"/>
    </row>
    <row r="287" ht="15.75" customHeight="1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134"/>
      <c r="Y287" s="134"/>
      <c r="Z287" s="134"/>
      <c r="AA287" s="134"/>
      <c r="AB287" s="134"/>
      <c r="AC287" s="134"/>
      <c r="AD287" s="134"/>
    </row>
    <row r="288" ht="15.75" customHeight="1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134"/>
      <c r="Y288" s="134"/>
      <c r="Z288" s="134"/>
      <c r="AA288" s="134"/>
      <c r="AB288" s="134"/>
      <c r="AC288" s="134"/>
      <c r="AD288" s="134"/>
    </row>
    <row r="289" ht="15.75" customHeight="1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134"/>
      <c r="Y289" s="134"/>
      <c r="Z289" s="134"/>
      <c r="AA289" s="134"/>
      <c r="AB289" s="134"/>
      <c r="AC289" s="134"/>
      <c r="AD289" s="134"/>
    </row>
    <row r="290" ht="15.75" customHeight="1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134"/>
      <c r="Y290" s="134"/>
      <c r="Z290" s="134"/>
      <c r="AA290" s="134"/>
      <c r="AB290" s="134"/>
      <c r="AC290" s="134"/>
      <c r="AD290" s="134"/>
    </row>
    <row r="291" ht="15.75" customHeight="1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134"/>
      <c r="Y291" s="134"/>
      <c r="Z291" s="134"/>
      <c r="AA291" s="134"/>
      <c r="AB291" s="134"/>
      <c r="AC291" s="134"/>
      <c r="AD291" s="134"/>
    </row>
    <row r="292" ht="15.75" customHeight="1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134"/>
      <c r="Y292" s="134"/>
      <c r="Z292" s="134"/>
      <c r="AA292" s="134"/>
      <c r="AB292" s="134"/>
      <c r="AC292" s="134"/>
      <c r="AD292" s="134"/>
    </row>
    <row r="293" ht="15.75" customHeight="1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134"/>
      <c r="Y293" s="134"/>
      <c r="Z293" s="134"/>
      <c r="AA293" s="134"/>
      <c r="AB293" s="134"/>
      <c r="AC293" s="134"/>
      <c r="AD293" s="134"/>
    </row>
    <row r="294" ht="15.75" customHeight="1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134"/>
      <c r="Y294" s="134"/>
      <c r="Z294" s="134"/>
      <c r="AA294" s="134"/>
      <c r="AB294" s="134"/>
      <c r="AC294" s="134"/>
      <c r="AD294" s="134"/>
    </row>
    <row r="295" ht="15.75" customHeight="1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134"/>
      <c r="Y295" s="134"/>
      <c r="Z295" s="134"/>
      <c r="AA295" s="134"/>
      <c r="AB295" s="134"/>
      <c r="AC295" s="134"/>
      <c r="AD295" s="134"/>
    </row>
    <row r="296" ht="15.75" customHeight="1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134"/>
      <c r="Y296" s="134"/>
      <c r="Z296" s="134"/>
      <c r="AA296" s="134"/>
      <c r="AB296" s="134"/>
      <c r="AC296" s="134"/>
      <c r="AD296" s="134"/>
    </row>
    <row r="297" ht="15.75" customHeight="1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134"/>
      <c r="Y297" s="134"/>
      <c r="Z297" s="134"/>
      <c r="AA297" s="134"/>
      <c r="AB297" s="134"/>
      <c r="AC297" s="134"/>
      <c r="AD297" s="134"/>
    </row>
    <row r="298" ht="15.75" customHeight="1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134"/>
      <c r="Y298" s="134"/>
      <c r="Z298" s="134"/>
      <c r="AA298" s="134"/>
      <c r="AB298" s="134"/>
      <c r="AC298" s="134"/>
      <c r="AD298" s="134"/>
    </row>
    <row r="299" ht="15.75" customHeight="1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134"/>
      <c r="Y299" s="134"/>
      <c r="Z299" s="134"/>
      <c r="AA299" s="134"/>
      <c r="AB299" s="134"/>
      <c r="AC299" s="134"/>
      <c r="AD299" s="134"/>
    </row>
    <row r="300" ht="15.75" customHeight="1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134"/>
      <c r="Y300" s="134"/>
      <c r="Z300" s="134"/>
      <c r="AA300" s="134"/>
      <c r="AB300" s="134"/>
      <c r="AC300" s="134"/>
      <c r="AD300" s="134"/>
    </row>
    <row r="301" ht="15.75" customHeight="1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134"/>
      <c r="Y301" s="134"/>
      <c r="Z301" s="134"/>
      <c r="AA301" s="134"/>
      <c r="AB301" s="134"/>
      <c r="AC301" s="134"/>
      <c r="AD301" s="134"/>
    </row>
    <row r="302" ht="15.75" customHeight="1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134"/>
      <c r="Y302" s="134"/>
      <c r="Z302" s="134"/>
      <c r="AA302" s="134"/>
      <c r="AB302" s="134"/>
      <c r="AC302" s="134"/>
      <c r="AD302" s="134"/>
    </row>
    <row r="303" ht="15.75" customHeight="1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134"/>
      <c r="Y303" s="134"/>
      <c r="Z303" s="134"/>
      <c r="AA303" s="134"/>
      <c r="AB303" s="134"/>
      <c r="AC303" s="134"/>
      <c r="AD303" s="134"/>
    </row>
    <row r="304" ht="15.75" customHeight="1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134"/>
      <c r="Y304" s="134"/>
      <c r="Z304" s="134"/>
      <c r="AA304" s="134"/>
      <c r="AB304" s="134"/>
      <c r="AC304" s="134"/>
      <c r="AD304" s="134"/>
    </row>
    <row r="305" ht="15.75" customHeight="1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134"/>
      <c r="Y305" s="134"/>
      <c r="Z305" s="134"/>
      <c r="AA305" s="134"/>
      <c r="AB305" s="134"/>
      <c r="AC305" s="134"/>
      <c r="AD305" s="134"/>
    </row>
    <row r="306" ht="15.75" customHeight="1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134"/>
      <c r="Y306" s="134"/>
      <c r="Z306" s="134"/>
      <c r="AA306" s="134"/>
      <c r="AB306" s="134"/>
      <c r="AC306" s="134"/>
      <c r="AD306" s="134"/>
    </row>
    <row r="307" ht="15.75" customHeight="1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134"/>
      <c r="Y307" s="134"/>
      <c r="Z307" s="134"/>
      <c r="AA307" s="134"/>
      <c r="AB307" s="134"/>
      <c r="AC307" s="134"/>
      <c r="AD307" s="134"/>
    </row>
    <row r="308" ht="15.75" customHeight="1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134"/>
      <c r="Y308" s="134"/>
      <c r="Z308" s="134"/>
      <c r="AA308" s="134"/>
      <c r="AB308" s="134"/>
      <c r="AC308" s="134"/>
      <c r="AD308" s="134"/>
    </row>
    <row r="309" ht="15.75" customHeight="1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134"/>
      <c r="Y309" s="134"/>
      <c r="Z309" s="134"/>
      <c r="AA309" s="134"/>
      <c r="AB309" s="134"/>
      <c r="AC309" s="134"/>
      <c r="AD309" s="134"/>
    </row>
    <row r="310" ht="15.75" customHeight="1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134"/>
      <c r="Y310" s="134"/>
      <c r="Z310" s="134"/>
      <c r="AA310" s="134"/>
      <c r="AB310" s="134"/>
      <c r="AC310" s="134"/>
      <c r="AD310" s="134"/>
    </row>
    <row r="311" ht="15.75" customHeight="1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134"/>
      <c r="Y311" s="134"/>
      <c r="Z311" s="134"/>
      <c r="AA311" s="134"/>
      <c r="AB311" s="134"/>
      <c r="AC311" s="134"/>
      <c r="AD311" s="134"/>
    </row>
    <row r="312" ht="15.75" customHeight="1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134"/>
      <c r="Y312" s="134"/>
      <c r="Z312" s="134"/>
      <c r="AA312" s="134"/>
      <c r="AB312" s="134"/>
      <c r="AC312" s="134"/>
      <c r="AD312" s="134"/>
    </row>
    <row r="313" ht="15.75" customHeight="1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134"/>
      <c r="Y313" s="134"/>
      <c r="Z313" s="134"/>
      <c r="AA313" s="134"/>
      <c r="AB313" s="134"/>
      <c r="AC313" s="134"/>
      <c r="AD313" s="134"/>
    </row>
    <row r="314" ht="15.75" customHeight="1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134"/>
      <c r="Y314" s="134"/>
      <c r="Z314" s="134"/>
      <c r="AA314" s="134"/>
      <c r="AB314" s="134"/>
      <c r="AC314" s="134"/>
      <c r="AD314" s="134"/>
    </row>
    <row r="315" ht="15.75" customHeight="1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134"/>
      <c r="Y315" s="134"/>
      <c r="Z315" s="134"/>
      <c r="AA315" s="134"/>
      <c r="AB315" s="134"/>
      <c r="AC315" s="134"/>
      <c r="AD315" s="134"/>
    </row>
    <row r="316" ht="15.75" customHeight="1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134"/>
      <c r="Y316" s="134"/>
      <c r="Z316" s="134"/>
      <c r="AA316" s="134"/>
      <c r="AB316" s="134"/>
      <c r="AC316" s="134"/>
      <c r="AD316" s="134"/>
    </row>
    <row r="317" ht="15.75" customHeight="1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134"/>
      <c r="Y317" s="134"/>
      <c r="Z317" s="134"/>
      <c r="AA317" s="134"/>
      <c r="AB317" s="134"/>
      <c r="AC317" s="134"/>
      <c r="AD317" s="134"/>
    </row>
    <row r="318" ht="15.75" customHeight="1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134"/>
      <c r="Y318" s="134"/>
      <c r="Z318" s="134"/>
      <c r="AA318" s="134"/>
      <c r="AB318" s="134"/>
      <c r="AC318" s="134"/>
      <c r="AD318" s="134"/>
    </row>
    <row r="319" ht="15.75" customHeight="1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134"/>
      <c r="Y319" s="134"/>
      <c r="Z319" s="134"/>
      <c r="AA319" s="134"/>
      <c r="AB319" s="134"/>
      <c r="AC319" s="134"/>
      <c r="AD319" s="134"/>
    </row>
    <row r="320" ht="15.75" customHeight="1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134"/>
      <c r="Y320" s="134"/>
      <c r="Z320" s="134"/>
      <c r="AA320" s="134"/>
      <c r="AB320" s="134"/>
      <c r="AC320" s="134"/>
      <c r="AD320" s="134"/>
    </row>
    <row r="321" ht="15.75" customHeight="1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134"/>
      <c r="Y321" s="134"/>
      <c r="Z321" s="134"/>
      <c r="AA321" s="134"/>
      <c r="AB321" s="134"/>
      <c r="AC321" s="134"/>
      <c r="AD321" s="134"/>
    </row>
    <row r="322" ht="15.75" customHeight="1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134"/>
      <c r="Y322" s="134"/>
      <c r="Z322" s="134"/>
      <c r="AA322" s="134"/>
      <c r="AB322" s="134"/>
      <c r="AC322" s="134"/>
      <c r="AD322" s="134"/>
    </row>
    <row r="323" ht="15.75" customHeight="1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134"/>
      <c r="Y323" s="134"/>
      <c r="Z323" s="134"/>
      <c r="AA323" s="134"/>
      <c r="AB323" s="134"/>
      <c r="AC323" s="134"/>
      <c r="AD323" s="134"/>
    </row>
    <row r="324" ht="15.75" customHeight="1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134"/>
      <c r="Y324" s="134"/>
      <c r="Z324" s="134"/>
      <c r="AA324" s="134"/>
      <c r="AB324" s="134"/>
      <c r="AC324" s="134"/>
      <c r="AD324" s="134"/>
    </row>
    <row r="325" ht="15.75" customHeight="1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134"/>
      <c r="Y325" s="134"/>
      <c r="Z325" s="134"/>
      <c r="AA325" s="134"/>
      <c r="AB325" s="134"/>
      <c r="AC325" s="134"/>
      <c r="AD325" s="134"/>
    </row>
    <row r="326" ht="15.75" customHeight="1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134"/>
      <c r="Y326" s="134"/>
      <c r="Z326" s="134"/>
      <c r="AA326" s="134"/>
      <c r="AB326" s="134"/>
      <c r="AC326" s="134"/>
      <c r="AD326" s="134"/>
    </row>
    <row r="327" ht="15.75" customHeight="1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134"/>
      <c r="Y327" s="134"/>
      <c r="Z327" s="134"/>
      <c r="AA327" s="134"/>
      <c r="AB327" s="134"/>
      <c r="AC327" s="134"/>
      <c r="AD327" s="134"/>
    </row>
    <row r="328" ht="15.75" customHeight="1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134"/>
      <c r="Y328" s="134"/>
      <c r="Z328" s="134"/>
      <c r="AA328" s="134"/>
      <c r="AB328" s="134"/>
      <c r="AC328" s="134"/>
      <c r="AD328" s="134"/>
    </row>
    <row r="329" ht="15.75" customHeight="1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134"/>
      <c r="Y329" s="134"/>
      <c r="Z329" s="134"/>
      <c r="AA329" s="134"/>
      <c r="AB329" s="134"/>
      <c r="AC329" s="134"/>
      <c r="AD329" s="134"/>
    </row>
    <row r="330" ht="15.75" customHeight="1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134"/>
      <c r="Y330" s="134"/>
      <c r="Z330" s="134"/>
      <c r="AA330" s="134"/>
      <c r="AB330" s="134"/>
      <c r="AC330" s="134"/>
      <c r="AD330" s="134"/>
    </row>
    <row r="331" ht="15.75" customHeight="1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134"/>
      <c r="Y331" s="134"/>
      <c r="Z331" s="134"/>
      <c r="AA331" s="134"/>
      <c r="AB331" s="134"/>
      <c r="AC331" s="134"/>
      <c r="AD331" s="134"/>
    </row>
    <row r="332" ht="15.75" customHeight="1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134"/>
      <c r="Y332" s="134"/>
      <c r="Z332" s="134"/>
      <c r="AA332" s="134"/>
      <c r="AB332" s="134"/>
      <c r="AC332" s="134"/>
      <c r="AD332" s="134"/>
    </row>
    <row r="333" ht="15.75" customHeight="1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134"/>
      <c r="Y333" s="134"/>
      <c r="Z333" s="134"/>
      <c r="AA333" s="134"/>
      <c r="AB333" s="134"/>
      <c r="AC333" s="134"/>
      <c r="AD333" s="134"/>
    </row>
    <row r="334" ht="15.75" customHeight="1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134"/>
      <c r="Y334" s="134"/>
      <c r="Z334" s="134"/>
      <c r="AA334" s="134"/>
      <c r="AB334" s="134"/>
      <c r="AC334" s="134"/>
      <c r="AD334" s="134"/>
    </row>
    <row r="335" ht="15.75" customHeight="1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134"/>
      <c r="Y335" s="134"/>
      <c r="Z335" s="134"/>
      <c r="AA335" s="134"/>
      <c r="AB335" s="134"/>
      <c r="AC335" s="134"/>
      <c r="AD335" s="134"/>
    </row>
    <row r="336" ht="15.75" customHeight="1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134"/>
      <c r="Y336" s="134"/>
      <c r="Z336" s="134"/>
      <c r="AA336" s="134"/>
      <c r="AB336" s="134"/>
      <c r="AC336" s="134"/>
      <c r="AD336" s="134"/>
    </row>
    <row r="337" ht="15.75" customHeight="1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134"/>
      <c r="Y337" s="134"/>
      <c r="Z337" s="134"/>
      <c r="AA337" s="134"/>
      <c r="AB337" s="134"/>
      <c r="AC337" s="134"/>
      <c r="AD337" s="134"/>
    </row>
    <row r="338" ht="15.75" customHeight="1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134"/>
      <c r="Y338" s="134"/>
      <c r="Z338" s="134"/>
      <c r="AA338" s="134"/>
      <c r="AB338" s="134"/>
      <c r="AC338" s="134"/>
      <c r="AD338" s="134"/>
    </row>
    <row r="339" ht="15.75" customHeight="1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134"/>
      <c r="Y339" s="134"/>
      <c r="Z339" s="134"/>
      <c r="AA339" s="134"/>
      <c r="AB339" s="134"/>
      <c r="AC339" s="134"/>
      <c r="AD339" s="134"/>
    </row>
    <row r="340" ht="15.75" customHeight="1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134"/>
      <c r="Y340" s="134"/>
      <c r="Z340" s="134"/>
      <c r="AA340" s="134"/>
      <c r="AB340" s="134"/>
      <c r="AC340" s="134"/>
      <c r="AD340" s="134"/>
    </row>
    <row r="341" ht="15.75" customHeight="1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134"/>
      <c r="Y341" s="134"/>
      <c r="Z341" s="134"/>
      <c r="AA341" s="134"/>
      <c r="AB341" s="134"/>
      <c r="AC341" s="134"/>
      <c r="AD341" s="134"/>
    </row>
    <row r="342" ht="15.75" customHeight="1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134"/>
      <c r="Y342" s="134"/>
      <c r="Z342" s="134"/>
      <c r="AA342" s="134"/>
      <c r="AB342" s="134"/>
      <c r="AC342" s="134"/>
      <c r="AD342" s="134"/>
    </row>
    <row r="343" ht="15.75" customHeight="1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134"/>
      <c r="Y343" s="134"/>
      <c r="Z343" s="134"/>
      <c r="AA343" s="134"/>
      <c r="AB343" s="134"/>
      <c r="AC343" s="134"/>
      <c r="AD343" s="134"/>
    </row>
    <row r="344" ht="15.75" customHeight="1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134"/>
      <c r="Y344" s="134"/>
      <c r="Z344" s="134"/>
      <c r="AA344" s="134"/>
      <c r="AB344" s="134"/>
      <c r="AC344" s="134"/>
      <c r="AD344" s="134"/>
    </row>
    <row r="345" ht="15.75" customHeight="1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134"/>
      <c r="Y345" s="134"/>
      <c r="Z345" s="134"/>
      <c r="AA345" s="134"/>
      <c r="AB345" s="134"/>
      <c r="AC345" s="134"/>
      <c r="AD345" s="134"/>
    </row>
    <row r="346" ht="15.75" customHeight="1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134"/>
      <c r="Y346" s="134"/>
      <c r="Z346" s="134"/>
      <c r="AA346" s="134"/>
      <c r="AB346" s="134"/>
      <c r="AC346" s="134"/>
      <c r="AD346" s="134"/>
    </row>
    <row r="347" ht="15.75" customHeight="1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134"/>
      <c r="Y347" s="134"/>
      <c r="Z347" s="134"/>
      <c r="AA347" s="134"/>
      <c r="AB347" s="134"/>
      <c r="AC347" s="134"/>
      <c r="AD347" s="134"/>
    </row>
    <row r="348" ht="15.75" customHeight="1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134"/>
      <c r="Y348" s="134"/>
      <c r="Z348" s="134"/>
      <c r="AA348" s="134"/>
      <c r="AB348" s="134"/>
      <c r="AC348" s="134"/>
      <c r="AD348" s="134"/>
    </row>
    <row r="349" ht="15.75" customHeight="1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134"/>
      <c r="Y349" s="134"/>
      <c r="Z349" s="134"/>
      <c r="AA349" s="134"/>
      <c r="AB349" s="134"/>
      <c r="AC349" s="134"/>
      <c r="AD349" s="134"/>
    </row>
    <row r="350" ht="15.75" customHeight="1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134"/>
      <c r="Y350" s="134"/>
      <c r="Z350" s="134"/>
      <c r="AA350" s="134"/>
      <c r="AB350" s="134"/>
      <c r="AC350" s="134"/>
      <c r="AD350" s="134"/>
    </row>
    <row r="351" ht="15.75" customHeight="1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134"/>
      <c r="Y351" s="134"/>
      <c r="Z351" s="134"/>
      <c r="AA351" s="134"/>
      <c r="AB351" s="134"/>
      <c r="AC351" s="134"/>
      <c r="AD351" s="134"/>
    </row>
    <row r="352" ht="15.75" customHeight="1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134"/>
      <c r="Y352" s="134"/>
      <c r="Z352" s="134"/>
      <c r="AA352" s="134"/>
      <c r="AB352" s="134"/>
      <c r="AC352" s="134"/>
      <c r="AD352" s="134"/>
    </row>
    <row r="353" ht="15.75" customHeight="1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134"/>
      <c r="Y353" s="134"/>
      <c r="Z353" s="134"/>
      <c r="AA353" s="134"/>
      <c r="AB353" s="134"/>
      <c r="AC353" s="134"/>
      <c r="AD353" s="134"/>
    </row>
    <row r="354" ht="15.75" customHeight="1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134"/>
      <c r="Y354" s="134"/>
      <c r="Z354" s="134"/>
      <c r="AA354" s="134"/>
      <c r="AB354" s="134"/>
      <c r="AC354" s="134"/>
      <c r="AD354" s="134"/>
    </row>
    <row r="355" ht="15.75" customHeight="1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134"/>
      <c r="Y355" s="134"/>
      <c r="Z355" s="134"/>
      <c r="AA355" s="134"/>
      <c r="AB355" s="134"/>
      <c r="AC355" s="134"/>
      <c r="AD355" s="134"/>
    </row>
    <row r="356" ht="15.75" customHeight="1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134"/>
      <c r="Y356" s="134"/>
      <c r="Z356" s="134"/>
      <c r="AA356" s="134"/>
      <c r="AB356" s="134"/>
      <c r="AC356" s="134"/>
      <c r="AD356" s="134"/>
    </row>
    <row r="357" ht="15.75" customHeight="1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134"/>
      <c r="Y357" s="134"/>
      <c r="Z357" s="134"/>
      <c r="AA357" s="134"/>
      <c r="AB357" s="134"/>
      <c r="AC357" s="134"/>
      <c r="AD357" s="134"/>
    </row>
    <row r="358" ht="15.75" customHeight="1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134"/>
      <c r="Y358" s="134"/>
      <c r="Z358" s="134"/>
      <c r="AA358" s="134"/>
      <c r="AB358" s="134"/>
      <c r="AC358" s="134"/>
      <c r="AD358" s="134"/>
    </row>
    <row r="359" ht="15.75" customHeight="1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134"/>
      <c r="Y359" s="134"/>
      <c r="Z359" s="134"/>
      <c r="AA359" s="134"/>
      <c r="AB359" s="134"/>
      <c r="AC359" s="134"/>
      <c r="AD359" s="134"/>
    </row>
    <row r="360" ht="15.75" customHeight="1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134"/>
      <c r="Y360" s="134"/>
      <c r="Z360" s="134"/>
      <c r="AA360" s="134"/>
      <c r="AB360" s="134"/>
      <c r="AC360" s="134"/>
      <c r="AD360" s="134"/>
    </row>
    <row r="361" ht="15.75" customHeight="1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134"/>
      <c r="Y361" s="134"/>
      <c r="Z361" s="134"/>
      <c r="AA361" s="134"/>
      <c r="AB361" s="134"/>
      <c r="AC361" s="134"/>
      <c r="AD361" s="134"/>
    </row>
    <row r="362" ht="15.75" customHeight="1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134"/>
      <c r="Y362" s="134"/>
      <c r="Z362" s="134"/>
      <c r="AA362" s="134"/>
      <c r="AB362" s="134"/>
      <c r="AC362" s="134"/>
      <c r="AD362" s="134"/>
    </row>
    <row r="363" ht="15.75" customHeight="1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134"/>
      <c r="Y363" s="134"/>
      <c r="Z363" s="134"/>
      <c r="AA363" s="134"/>
      <c r="AB363" s="134"/>
      <c r="AC363" s="134"/>
      <c r="AD363" s="134"/>
    </row>
    <row r="364" ht="15.75" customHeight="1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134"/>
      <c r="Y364" s="134"/>
      <c r="Z364" s="134"/>
      <c r="AA364" s="134"/>
      <c r="AB364" s="134"/>
      <c r="AC364" s="134"/>
      <c r="AD364" s="134"/>
    </row>
    <row r="365" ht="15.75" customHeight="1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134"/>
      <c r="Y365" s="134"/>
      <c r="Z365" s="134"/>
      <c r="AA365" s="134"/>
      <c r="AB365" s="134"/>
      <c r="AC365" s="134"/>
      <c r="AD365" s="134"/>
    </row>
    <row r="366" ht="15.75" customHeight="1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134"/>
      <c r="Y366" s="134"/>
      <c r="Z366" s="134"/>
      <c r="AA366" s="134"/>
      <c r="AB366" s="134"/>
      <c r="AC366" s="134"/>
      <c r="AD366" s="134"/>
    </row>
    <row r="367" ht="15.75" customHeight="1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134"/>
      <c r="Y367" s="134"/>
      <c r="Z367" s="134"/>
      <c r="AA367" s="134"/>
      <c r="AB367" s="134"/>
      <c r="AC367" s="134"/>
      <c r="AD367" s="134"/>
    </row>
    <row r="368" ht="15.75" customHeight="1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134"/>
      <c r="Y368" s="134"/>
      <c r="Z368" s="134"/>
      <c r="AA368" s="134"/>
      <c r="AB368" s="134"/>
      <c r="AC368" s="134"/>
      <c r="AD368" s="134"/>
    </row>
    <row r="369" ht="15.75" customHeight="1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134"/>
      <c r="Y369" s="134"/>
      <c r="Z369" s="134"/>
      <c r="AA369" s="134"/>
      <c r="AB369" s="134"/>
      <c r="AC369" s="134"/>
      <c r="AD369" s="134"/>
    </row>
    <row r="370" ht="15.75" customHeight="1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134"/>
      <c r="Y370" s="134"/>
      <c r="Z370" s="134"/>
      <c r="AA370" s="134"/>
      <c r="AB370" s="134"/>
      <c r="AC370" s="134"/>
      <c r="AD370" s="134"/>
    </row>
    <row r="371" ht="15.75" customHeight="1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134"/>
      <c r="Y371" s="134"/>
      <c r="Z371" s="134"/>
      <c r="AA371" s="134"/>
      <c r="AB371" s="134"/>
      <c r="AC371" s="134"/>
      <c r="AD371" s="134"/>
    </row>
    <row r="372" ht="15.75" customHeight="1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134"/>
      <c r="Y372" s="134"/>
      <c r="Z372" s="134"/>
      <c r="AA372" s="134"/>
      <c r="AB372" s="134"/>
      <c r="AC372" s="134"/>
      <c r="AD372" s="134"/>
    </row>
    <row r="373" ht="15.75" customHeight="1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134"/>
      <c r="Y373" s="134"/>
      <c r="Z373" s="134"/>
      <c r="AA373" s="134"/>
      <c r="AB373" s="134"/>
      <c r="AC373" s="134"/>
      <c r="AD373" s="134"/>
    </row>
    <row r="374" ht="15.75" customHeight="1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134"/>
      <c r="Y374" s="134"/>
      <c r="Z374" s="134"/>
      <c r="AA374" s="134"/>
      <c r="AB374" s="134"/>
      <c r="AC374" s="134"/>
      <c r="AD374" s="134"/>
    </row>
    <row r="375" ht="15.75" customHeight="1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134"/>
      <c r="Y375" s="134"/>
      <c r="Z375" s="134"/>
      <c r="AA375" s="134"/>
      <c r="AB375" s="134"/>
      <c r="AC375" s="134"/>
      <c r="AD375" s="134"/>
    </row>
    <row r="376" ht="15.75" customHeight="1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134"/>
      <c r="Y376" s="134"/>
      <c r="Z376" s="134"/>
      <c r="AA376" s="134"/>
      <c r="AB376" s="134"/>
      <c r="AC376" s="134"/>
      <c r="AD376" s="134"/>
    </row>
    <row r="377" ht="15.75" customHeight="1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134"/>
      <c r="Y377" s="134"/>
      <c r="Z377" s="134"/>
      <c r="AA377" s="134"/>
      <c r="AB377" s="134"/>
      <c r="AC377" s="134"/>
      <c r="AD377" s="134"/>
    </row>
    <row r="378" ht="15.75" customHeight="1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134"/>
      <c r="Y378" s="134"/>
      <c r="Z378" s="134"/>
      <c r="AA378" s="134"/>
      <c r="AB378" s="134"/>
      <c r="AC378" s="134"/>
      <c r="AD378" s="134"/>
    </row>
    <row r="379" ht="15.75" customHeight="1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134"/>
      <c r="Y379" s="134"/>
      <c r="Z379" s="134"/>
      <c r="AA379" s="134"/>
      <c r="AB379" s="134"/>
      <c r="AC379" s="134"/>
      <c r="AD379" s="134"/>
    </row>
    <row r="380" ht="15.75" customHeight="1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134"/>
      <c r="Y380" s="134"/>
      <c r="Z380" s="134"/>
      <c r="AA380" s="134"/>
      <c r="AB380" s="134"/>
      <c r="AC380" s="134"/>
      <c r="AD380" s="134"/>
    </row>
    <row r="381" ht="15.75" customHeight="1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134"/>
      <c r="Y381" s="134"/>
      <c r="Z381" s="134"/>
      <c r="AA381" s="134"/>
      <c r="AB381" s="134"/>
      <c r="AC381" s="134"/>
      <c r="AD381" s="134"/>
    </row>
    <row r="382" ht="15.75" customHeight="1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134"/>
      <c r="Y382" s="134"/>
      <c r="Z382" s="134"/>
      <c r="AA382" s="134"/>
      <c r="AB382" s="134"/>
      <c r="AC382" s="134"/>
      <c r="AD382" s="134"/>
    </row>
    <row r="383" ht="15.75" customHeight="1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134"/>
      <c r="Y383" s="134"/>
      <c r="Z383" s="134"/>
      <c r="AA383" s="134"/>
      <c r="AB383" s="134"/>
      <c r="AC383" s="134"/>
      <c r="AD383" s="134"/>
    </row>
    <row r="384" ht="15.75" customHeight="1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134"/>
      <c r="Y384" s="134"/>
      <c r="Z384" s="134"/>
      <c r="AA384" s="134"/>
      <c r="AB384" s="134"/>
      <c r="AC384" s="134"/>
      <c r="AD384" s="134"/>
    </row>
    <row r="385" ht="15.75" customHeight="1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134"/>
      <c r="Y385" s="134"/>
      <c r="Z385" s="134"/>
      <c r="AA385" s="134"/>
      <c r="AB385" s="134"/>
      <c r="AC385" s="134"/>
      <c r="AD385" s="134"/>
    </row>
    <row r="386" ht="15.75" customHeight="1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134"/>
      <c r="Y386" s="134"/>
      <c r="Z386" s="134"/>
      <c r="AA386" s="134"/>
      <c r="AB386" s="134"/>
      <c r="AC386" s="134"/>
      <c r="AD386" s="134"/>
    </row>
    <row r="387" ht="15.75" customHeight="1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134"/>
      <c r="Y387" s="134"/>
      <c r="Z387" s="134"/>
      <c r="AA387" s="134"/>
      <c r="AB387" s="134"/>
      <c r="AC387" s="134"/>
      <c r="AD387" s="134"/>
    </row>
    <row r="388" ht="15.75" customHeight="1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134"/>
      <c r="Y388" s="134"/>
      <c r="Z388" s="134"/>
      <c r="AA388" s="134"/>
      <c r="AB388" s="134"/>
      <c r="AC388" s="134"/>
      <c r="AD388" s="134"/>
    </row>
    <row r="389" ht="15.75" customHeight="1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134"/>
      <c r="Y389" s="134"/>
      <c r="Z389" s="134"/>
      <c r="AA389" s="134"/>
      <c r="AB389" s="134"/>
      <c r="AC389" s="134"/>
      <c r="AD389" s="134"/>
    </row>
    <row r="390" ht="15.75" customHeight="1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134"/>
      <c r="Y390" s="134"/>
      <c r="Z390" s="134"/>
      <c r="AA390" s="134"/>
      <c r="AB390" s="134"/>
      <c r="AC390" s="134"/>
      <c r="AD390" s="134"/>
    </row>
    <row r="391" ht="15.75" customHeight="1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134"/>
      <c r="Y391" s="134"/>
      <c r="Z391" s="134"/>
      <c r="AA391" s="134"/>
      <c r="AB391" s="134"/>
      <c r="AC391" s="134"/>
      <c r="AD391" s="134"/>
    </row>
    <row r="392" ht="15.75" customHeight="1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134"/>
      <c r="Y392" s="134"/>
      <c r="Z392" s="134"/>
      <c r="AA392" s="134"/>
      <c r="AB392" s="134"/>
      <c r="AC392" s="134"/>
      <c r="AD392" s="134"/>
    </row>
    <row r="393" ht="15.75" customHeight="1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134"/>
      <c r="Y393" s="134"/>
      <c r="Z393" s="134"/>
      <c r="AA393" s="134"/>
      <c r="AB393" s="134"/>
      <c r="AC393" s="134"/>
      <c r="AD393" s="134"/>
    </row>
    <row r="394" ht="15.75" customHeight="1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134"/>
      <c r="Y394" s="134"/>
      <c r="Z394" s="134"/>
      <c r="AA394" s="134"/>
      <c r="AB394" s="134"/>
      <c r="AC394" s="134"/>
      <c r="AD394" s="134"/>
    </row>
    <row r="395" ht="15.75" customHeight="1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134"/>
      <c r="Y395" s="134"/>
      <c r="Z395" s="134"/>
      <c r="AA395" s="134"/>
      <c r="AB395" s="134"/>
      <c r="AC395" s="134"/>
      <c r="AD395" s="134"/>
    </row>
    <row r="396" ht="15.75" customHeight="1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134"/>
      <c r="Y396" s="134"/>
      <c r="Z396" s="134"/>
      <c r="AA396" s="134"/>
      <c r="AB396" s="134"/>
      <c r="AC396" s="134"/>
      <c r="AD396" s="134"/>
    </row>
    <row r="397" ht="15.75" customHeight="1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134"/>
      <c r="Y397" s="134"/>
      <c r="Z397" s="134"/>
      <c r="AA397" s="134"/>
      <c r="AB397" s="134"/>
      <c r="AC397" s="134"/>
      <c r="AD397" s="134"/>
    </row>
    <row r="398" ht="15.75" customHeight="1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134"/>
      <c r="Y398" s="134"/>
      <c r="Z398" s="134"/>
      <c r="AA398" s="134"/>
      <c r="AB398" s="134"/>
      <c r="AC398" s="134"/>
      <c r="AD398" s="134"/>
    </row>
    <row r="399" ht="15.75" customHeight="1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134"/>
      <c r="Y399" s="134"/>
      <c r="Z399" s="134"/>
      <c r="AA399" s="134"/>
      <c r="AB399" s="134"/>
      <c r="AC399" s="134"/>
      <c r="AD399" s="134"/>
    </row>
    <row r="400" ht="15.75" customHeight="1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134"/>
      <c r="Y400" s="134"/>
      <c r="Z400" s="134"/>
      <c r="AA400" s="134"/>
      <c r="AB400" s="134"/>
      <c r="AC400" s="134"/>
      <c r="AD400" s="134"/>
    </row>
    <row r="401" ht="15.75" customHeight="1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134"/>
      <c r="Y401" s="134"/>
      <c r="Z401" s="134"/>
      <c r="AA401" s="134"/>
      <c r="AB401" s="134"/>
      <c r="AC401" s="134"/>
      <c r="AD401" s="134"/>
    </row>
    <row r="402" ht="15.75" customHeight="1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134"/>
      <c r="Y402" s="134"/>
      <c r="Z402" s="134"/>
      <c r="AA402" s="134"/>
      <c r="AB402" s="134"/>
      <c r="AC402" s="134"/>
      <c r="AD402" s="134"/>
    </row>
    <row r="403" ht="15.75" customHeight="1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134"/>
      <c r="Y403" s="134"/>
      <c r="Z403" s="134"/>
      <c r="AA403" s="134"/>
      <c r="AB403" s="134"/>
      <c r="AC403" s="134"/>
      <c r="AD403" s="134"/>
    </row>
    <row r="404" ht="15.75" customHeight="1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134"/>
      <c r="Y404" s="134"/>
      <c r="Z404" s="134"/>
      <c r="AA404" s="134"/>
      <c r="AB404" s="134"/>
      <c r="AC404" s="134"/>
      <c r="AD404" s="134"/>
    </row>
    <row r="405" ht="15.75" customHeight="1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134"/>
      <c r="Y405" s="134"/>
      <c r="Z405" s="134"/>
      <c r="AA405" s="134"/>
      <c r="AB405" s="134"/>
      <c r="AC405" s="134"/>
      <c r="AD405" s="134"/>
    </row>
    <row r="406" ht="15.75" customHeight="1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134"/>
      <c r="Y406" s="134"/>
      <c r="Z406" s="134"/>
      <c r="AA406" s="134"/>
      <c r="AB406" s="134"/>
      <c r="AC406" s="134"/>
      <c r="AD406" s="134"/>
    </row>
    <row r="407" ht="15.75" customHeight="1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134"/>
      <c r="Y407" s="134"/>
      <c r="Z407" s="134"/>
      <c r="AA407" s="134"/>
      <c r="AB407" s="134"/>
      <c r="AC407" s="134"/>
      <c r="AD407" s="134"/>
    </row>
    <row r="408" ht="15.75" customHeight="1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134"/>
      <c r="Y408" s="134"/>
      <c r="Z408" s="134"/>
      <c r="AA408" s="134"/>
      <c r="AB408" s="134"/>
      <c r="AC408" s="134"/>
      <c r="AD408" s="134"/>
    </row>
    <row r="409" ht="15.75" customHeight="1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134"/>
      <c r="Y409" s="134"/>
      <c r="Z409" s="134"/>
      <c r="AA409" s="134"/>
      <c r="AB409" s="134"/>
      <c r="AC409" s="134"/>
      <c r="AD409" s="134"/>
    </row>
    <row r="410" ht="15.75" customHeight="1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134"/>
      <c r="Y410" s="134"/>
      <c r="Z410" s="134"/>
      <c r="AA410" s="134"/>
      <c r="AB410" s="134"/>
      <c r="AC410" s="134"/>
      <c r="AD410" s="134"/>
    </row>
    <row r="411" ht="15.75" customHeight="1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134"/>
      <c r="Y411" s="134"/>
      <c r="Z411" s="134"/>
      <c r="AA411" s="134"/>
      <c r="AB411" s="134"/>
      <c r="AC411" s="134"/>
      <c r="AD411" s="134"/>
    </row>
    <row r="412" ht="15.75" customHeight="1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134"/>
      <c r="Y412" s="134"/>
      <c r="Z412" s="134"/>
      <c r="AA412" s="134"/>
      <c r="AB412" s="134"/>
      <c r="AC412" s="134"/>
      <c r="AD412" s="134"/>
    </row>
    <row r="413" ht="15.75" customHeight="1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134"/>
      <c r="Y413" s="134"/>
      <c r="Z413" s="134"/>
      <c r="AA413" s="134"/>
      <c r="AB413" s="134"/>
      <c r="AC413" s="134"/>
      <c r="AD413" s="134"/>
    </row>
    <row r="414" ht="15.75" customHeight="1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134"/>
      <c r="Y414" s="134"/>
      <c r="Z414" s="134"/>
      <c r="AA414" s="134"/>
      <c r="AB414" s="134"/>
      <c r="AC414" s="134"/>
      <c r="AD414" s="134"/>
    </row>
    <row r="415" ht="15.75" customHeight="1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134"/>
      <c r="Y415" s="134"/>
      <c r="Z415" s="134"/>
      <c r="AA415" s="134"/>
      <c r="AB415" s="134"/>
      <c r="AC415" s="134"/>
      <c r="AD415" s="134"/>
    </row>
    <row r="416" ht="15.75" customHeight="1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134"/>
      <c r="Y416" s="134"/>
      <c r="Z416" s="134"/>
      <c r="AA416" s="134"/>
      <c r="AB416" s="134"/>
      <c r="AC416" s="134"/>
      <c r="AD416" s="134"/>
    </row>
    <row r="417" ht="15.75" customHeight="1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134"/>
      <c r="Y417" s="134"/>
      <c r="Z417" s="134"/>
      <c r="AA417" s="134"/>
      <c r="AB417" s="134"/>
      <c r="AC417" s="134"/>
      <c r="AD417" s="134"/>
    </row>
    <row r="418" ht="15.75" customHeight="1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134"/>
      <c r="Y418" s="134"/>
      <c r="Z418" s="134"/>
      <c r="AA418" s="134"/>
      <c r="AB418" s="134"/>
      <c r="AC418" s="134"/>
      <c r="AD418" s="134"/>
    </row>
    <row r="419" ht="15.75" customHeight="1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134"/>
      <c r="Y419" s="134"/>
      <c r="Z419" s="134"/>
      <c r="AA419" s="134"/>
      <c r="AB419" s="134"/>
      <c r="AC419" s="134"/>
      <c r="AD419" s="134"/>
    </row>
    <row r="420" ht="15.75" customHeight="1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134"/>
      <c r="Y420" s="134"/>
      <c r="Z420" s="134"/>
      <c r="AA420" s="134"/>
      <c r="AB420" s="134"/>
      <c r="AC420" s="134"/>
      <c r="AD420" s="134"/>
    </row>
    <row r="421" ht="15.75" customHeight="1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134"/>
      <c r="Y421" s="134"/>
      <c r="Z421" s="134"/>
      <c r="AA421" s="134"/>
      <c r="AB421" s="134"/>
      <c r="AC421" s="134"/>
      <c r="AD421" s="134"/>
    </row>
    <row r="422" ht="15.75" customHeight="1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134"/>
      <c r="Y422" s="134"/>
      <c r="Z422" s="134"/>
      <c r="AA422" s="134"/>
      <c r="AB422" s="134"/>
      <c r="AC422" s="134"/>
      <c r="AD422" s="134"/>
    </row>
    <row r="423" ht="15.75" customHeight="1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134"/>
      <c r="Y423" s="134"/>
      <c r="Z423" s="134"/>
      <c r="AA423" s="134"/>
      <c r="AB423" s="134"/>
      <c r="AC423" s="134"/>
      <c r="AD423" s="134"/>
    </row>
    <row r="424" ht="15.75" customHeight="1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134"/>
      <c r="Y424" s="134"/>
      <c r="Z424" s="134"/>
      <c r="AA424" s="134"/>
      <c r="AB424" s="134"/>
      <c r="AC424" s="134"/>
      <c r="AD424" s="134"/>
    </row>
    <row r="425" ht="15.75" customHeight="1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134"/>
      <c r="Y425" s="134"/>
      <c r="Z425" s="134"/>
      <c r="AA425" s="134"/>
      <c r="AB425" s="134"/>
      <c r="AC425" s="134"/>
      <c r="AD425" s="134"/>
    </row>
    <row r="426" ht="15.75" customHeight="1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134"/>
      <c r="Y426" s="134"/>
      <c r="Z426" s="134"/>
      <c r="AA426" s="134"/>
      <c r="AB426" s="134"/>
      <c r="AC426" s="134"/>
      <c r="AD426" s="134"/>
    </row>
    <row r="427" ht="15.75" customHeight="1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134"/>
      <c r="Y427" s="134"/>
      <c r="Z427" s="134"/>
      <c r="AA427" s="134"/>
      <c r="AB427" s="134"/>
      <c r="AC427" s="134"/>
      <c r="AD427" s="134"/>
    </row>
    <row r="428" ht="15.75" customHeight="1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134"/>
      <c r="Y428" s="134"/>
      <c r="Z428" s="134"/>
      <c r="AA428" s="134"/>
      <c r="AB428" s="134"/>
      <c r="AC428" s="134"/>
      <c r="AD428" s="134"/>
    </row>
    <row r="429" ht="15.75" customHeight="1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134"/>
      <c r="Y429" s="134"/>
      <c r="Z429" s="134"/>
      <c r="AA429" s="134"/>
      <c r="AB429" s="134"/>
      <c r="AC429" s="134"/>
      <c r="AD429" s="134"/>
    </row>
    <row r="430" ht="15.75" customHeight="1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134"/>
      <c r="Y430" s="134"/>
      <c r="Z430" s="134"/>
      <c r="AA430" s="134"/>
      <c r="AB430" s="134"/>
      <c r="AC430" s="134"/>
      <c r="AD430" s="134"/>
    </row>
    <row r="431" ht="15.75" customHeight="1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134"/>
      <c r="Y431" s="134"/>
      <c r="Z431" s="134"/>
      <c r="AA431" s="134"/>
      <c r="AB431" s="134"/>
      <c r="AC431" s="134"/>
      <c r="AD431" s="134"/>
    </row>
    <row r="432" ht="15.75" customHeight="1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134"/>
      <c r="Y432" s="134"/>
      <c r="Z432" s="134"/>
      <c r="AA432" s="134"/>
      <c r="AB432" s="134"/>
      <c r="AC432" s="134"/>
      <c r="AD432" s="134"/>
    </row>
    <row r="433" ht="15.75" customHeight="1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134"/>
      <c r="Y433" s="134"/>
      <c r="Z433" s="134"/>
      <c r="AA433" s="134"/>
      <c r="AB433" s="134"/>
      <c r="AC433" s="134"/>
      <c r="AD433" s="134"/>
    </row>
    <row r="434" ht="15.75" customHeight="1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134"/>
      <c r="Y434" s="134"/>
      <c r="Z434" s="134"/>
      <c r="AA434" s="134"/>
      <c r="AB434" s="134"/>
      <c r="AC434" s="134"/>
      <c r="AD434" s="134"/>
    </row>
    <row r="435" ht="15.75" customHeight="1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134"/>
      <c r="Y435" s="134"/>
      <c r="Z435" s="134"/>
      <c r="AA435" s="134"/>
      <c r="AB435" s="134"/>
      <c r="AC435" s="134"/>
      <c r="AD435" s="134"/>
    </row>
    <row r="436" ht="15.75" customHeight="1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134"/>
      <c r="Y436" s="134"/>
      <c r="Z436" s="134"/>
      <c r="AA436" s="134"/>
      <c r="AB436" s="134"/>
      <c r="AC436" s="134"/>
      <c r="AD436" s="134"/>
    </row>
    <row r="437" ht="15.75" customHeight="1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134"/>
      <c r="Y437" s="134"/>
      <c r="Z437" s="134"/>
      <c r="AA437" s="134"/>
      <c r="AB437" s="134"/>
      <c r="AC437" s="134"/>
      <c r="AD437" s="134"/>
    </row>
    <row r="438" ht="15.75" customHeight="1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134"/>
      <c r="Y438" s="134"/>
      <c r="Z438" s="134"/>
      <c r="AA438" s="134"/>
      <c r="AB438" s="134"/>
      <c r="AC438" s="134"/>
      <c r="AD438" s="134"/>
    </row>
    <row r="439" ht="15.75" customHeight="1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134"/>
      <c r="Y439" s="134"/>
      <c r="Z439" s="134"/>
      <c r="AA439" s="134"/>
      <c r="AB439" s="134"/>
      <c r="AC439" s="134"/>
      <c r="AD439" s="134"/>
    </row>
    <row r="440" ht="15.75" customHeight="1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134"/>
      <c r="Y440" s="134"/>
      <c r="Z440" s="134"/>
      <c r="AA440" s="134"/>
      <c r="AB440" s="134"/>
      <c r="AC440" s="134"/>
      <c r="AD440" s="134"/>
    </row>
    <row r="441" ht="15.75" customHeight="1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134"/>
      <c r="Y441" s="134"/>
      <c r="Z441" s="134"/>
      <c r="AA441" s="134"/>
      <c r="AB441" s="134"/>
      <c r="AC441" s="134"/>
      <c r="AD441" s="134"/>
    </row>
    <row r="442" ht="15.75" customHeight="1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134"/>
      <c r="Y442" s="134"/>
      <c r="Z442" s="134"/>
      <c r="AA442" s="134"/>
      <c r="AB442" s="134"/>
      <c r="AC442" s="134"/>
      <c r="AD442" s="134"/>
    </row>
    <row r="443" ht="15.75" customHeight="1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134"/>
      <c r="Y443" s="134"/>
      <c r="Z443" s="134"/>
      <c r="AA443" s="134"/>
      <c r="AB443" s="134"/>
      <c r="AC443" s="134"/>
      <c r="AD443" s="134"/>
    </row>
    <row r="444" ht="15.75" customHeight="1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134"/>
      <c r="Y444" s="134"/>
      <c r="Z444" s="134"/>
      <c r="AA444" s="134"/>
      <c r="AB444" s="134"/>
      <c r="AC444" s="134"/>
      <c r="AD444" s="134"/>
    </row>
    <row r="445" ht="15.75" customHeight="1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134"/>
      <c r="Y445" s="134"/>
      <c r="Z445" s="134"/>
      <c r="AA445" s="134"/>
      <c r="AB445" s="134"/>
      <c r="AC445" s="134"/>
      <c r="AD445" s="134"/>
    </row>
    <row r="446" ht="15.75" customHeight="1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134"/>
      <c r="Y446" s="134"/>
      <c r="Z446" s="134"/>
      <c r="AA446" s="134"/>
      <c r="AB446" s="134"/>
      <c r="AC446" s="134"/>
      <c r="AD446" s="134"/>
    </row>
    <row r="447" ht="15.75" customHeight="1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134"/>
      <c r="Y447" s="134"/>
      <c r="Z447" s="134"/>
      <c r="AA447" s="134"/>
      <c r="AB447" s="134"/>
      <c r="AC447" s="134"/>
      <c r="AD447" s="134"/>
    </row>
    <row r="448" ht="15.75" customHeight="1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134"/>
      <c r="Y448" s="134"/>
      <c r="Z448" s="134"/>
      <c r="AA448" s="134"/>
      <c r="AB448" s="134"/>
      <c r="AC448" s="134"/>
      <c r="AD448" s="134"/>
    </row>
    <row r="449" ht="15.75" customHeight="1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134"/>
      <c r="Y449" s="134"/>
      <c r="Z449" s="134"/>
      <c r="AA449" s="134"/>
      <c r="AB449" s="134"/>
      <c r="AC449" s="134"/>
      <c r="AD449" s="134"/>
    </row>
    <row r="450" ht="15.75" customHeight="1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134"/>
      <c r="Y450" s="134"/>
      <c r="Z450" s="134"/>
      <c r="AA450" s="134"/>
      <c r="AB450" s="134"/>
      <c r="AC450" s="134"/>
      <c r="AD450" s="134"/>
    </row>
    <row r="451" ht="15.75" customHeight="1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134"/>
      <c r="Y451" s="134"/>
      <c r="Z451" s="134"/>
      <c r="AA451" s="134"/>
      <c r="AB451" s="134"/>
      <c r="AC451" s="134"/>
      <c r="AD451" s="134"/>
    </row>
    <row r="452" ht="15.75" customHeight="1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134"/>
      <c r="Y452" s="134"/>
      <c r="Z452" s="134"/>
      <c r="AA452" s="134"/>
      <c r="AB452" s="134"/>
      <c r="AC452" s="134"/>
      <c r="AD452" s="134"/>
    </row>
    <row r="453" ht="15.75" customHeight="1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134"/>
      <c r="Y453" s="134"/>
      <c r="Z453" s="134"/>
      <c r="AA453" s="134"/>
      <c r="AB453" s="134"/>
      <c r="AC453" s="134"/>
      <c r="AD453" s="134"/>
    </row>
    <row r="454" ht="15.75" customHeight="1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134"/>
      <c r="Y454" s="134"/>
      <c r="Z454" s="134"/>
      <c r="AA454" s="134"/>
      <c r="AB454" s="134"/>
      <c r="AC454" s="134"/>
      <c r="AD454" s="134"/>
    </row>
    <row r="455" ht="15.75" customHeight="1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134"/>
      <c r="Y455" s="134"/>
      <c r="Z455" s="134"/>
      <c r="AA455" s="134"/>
      <c r="AB455" s="134"/>
      <c r="AC455" s="134"/>
      <c r="AD455" s="134"/>
    </row>
    <row r="456" ht="15.75" customHeight="1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134"/>
      <c r="Y456" s="134"/>
      <c r="Z456" s="134"/>
      <c r="AA456" s="134"/>
      <c r="AB456" s="134"/>
      <c r="AC456" s="134"/>
      <c r="AD456" s="134"/>
    </row>
    <row r="457" ht="15.75" customHeight="1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134"/>
      <c r="Y457" s="134"/>
      <c r="Z457" s="134"/>
      <c r="AA457" s="134"/>
      <c r="AB457" s="134"/>
      <c r="AC457" s="134"/>
      <c r="AD457" s="134"/>
    </row>
    <row r="458" ht="15.75" customHeight="1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134"/>
      <c r="Y458" s="134"/>
      <c r="Z458" s="134"/>
      <c r="AA458" s="134"/>
      <c r="AB458" s="134"/>
      <c r="AC458" s="134"/>
      <c r="AD458" s="134"/>
    </row>
    <row r="459" ht="15.75" customHeight="1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134"/>
      <c r="Y459" s="134"/>
      <c r="Z459" s="134"/>
      <c r="AA459" s="134"/>
      <c r="AB459" s="134"/>
      <c r="AC459" s="134"/>
      <c r="AD459" s="134"/>
    </row>
    <row r="460" ht="15.75" customHeight="1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134"/>
      <c r="Y460" s="134"/>
      <c r="Z460" s="134"/>
      <c r="AA460" s="134"/>
      <c r="AB460" s="134"/>
      <c r="AC460" s="134"/>
      <c r="AD460" s="134"/>
    </row>
    <row r="461" ht="15.75" customHeight="1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134"/>
      <c r="Y461" s="134"/>
      <c r="Z461" s="134"/>
      <c r="AA461" s="134"/>
      <c r="AB461" s="134"/>
      <c r="AC461" s="134"/>
      <c r="AD461" s="134"/>
    </row>
    <row r="462" ht="15.75" customHeight="1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134"/>
      <c r="Y462" s="134"/>
      <c r="Z462" s="134"/>
      <c r="AA462" s="134"/>
      <c r="AB462" s="134"/>
      <c r="AC462" s="134"/>
      <c r="AD462" s="134"/>
    </row>
    <row r="463" ht="15.75" customHeight="1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134"/>
      <c r="Y463" s="134"/>
      <c r="Z463" s="134"/>
      <c r="AA463" s="134"/>
      <c r="AB463" s="134"/>
      <c r="AC463" s="134"/>
      <c r="AD463" s="134"/>
    </row>
    <row r="464" ht="15.75" customHeight="1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134"/>
      <c r="Y464" s="134"/>
      <c r="Z464" s="134"/>
      <c r="AA464" s="134"/>
      <c r="AB464" s="134"/>
      <c r="AC464" s="134"/>
      <c r="AD464" s="134"/>
    </row>
    <row r="465" ht="15.75" customHeight="1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134"/>
      <c r="Y465" s="134"/>
      <c r="Z465" s="134"/>
      <c r="AA465" s="134"/>
      <c r="AB465" s="134"/>
      <c r="AC465" s="134"/>
      <c r="AD465" s="134"/>
    </row>
    <row r="466" ht="15.75" customHeight="1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134"/>
      <c r="Y466" s="134"/>
      <c r="Z466" s="134"/>
      <c r="AA466" s="134"/>
      <c r="AB466" s="134"/>
      <c r="AC466" s="134"/>
      <c r="AD466" s="134"/>
    </row>
    <row r="467" ht="15.75" customHeight="1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134"/>
      <c r="Y467" s="134"/>
      <c r="Z467" s="134"/>
      <c r="AA467" s="134"/>
      <c r="AB467" s="134"/>
      <c r="AC467" s="134"/>
      <c r="AD467" s="134"/>
    </row>
    <row r="468" ht="15.75" customHeight="1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134"/>
      <c r="Y468" s="134"/>
      <c r="Z468" s="134"/>
      <c r="AA468" s="134"/>
      <c r="AB468" s="134"/>
      <c r="AC468" s="134"/>
      <c r="AD468" s="134"/>
    </row>
    <row r="469" ht="15.75" customHeight="1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134"/>
      <c r="Y469" s="134"/>
      <c r="Z469" s="134"/>
      <c r="AA469" s="134"/>
      <c r="AB469" s="134"/>
      <c r="AC469" s="134"/>
      <c r="AD469" s="134"/>
    </row>
    <row r="470" ht="15.75" customHeight="1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134"/>
      <c r="Y470" s="134"/>
      <c r="Z470" s="134"/>
      <c r="AA470" s="134"/>
      <c r="AB470" s="134"/>
      <c r="AC470" s="134"/>
      <c r="AD470" s="134"/>
    </row>
    <row r="471" ht="15.75" customHeight="1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134"/>
      <c r="Y471" s="134"/>
      <c r="Z471" s="134"/>
      <c r="AA471" s="134"/>
      <c r="AB471" s="134"/>
      <c r="AC471" s="134"/>
      <c r="AD471" s="134"/>
    </row>
    <row r="472" ht="15.75" customHeight="1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134"/>
      <c r="Y472" s="134"/>
      <c r="Z472" s="134"/>
      <c r="AA472" s="134"/>
      <c r="AB472" s="134"/>
      <c r="AC472" s="134"/>
      <c r="AD472" s="134"/>
    </row>
    <row r="473" ht="15.75" customHeight="1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134"/>
      <c r="Y473" s="134"/>
      <c r="Z473" s="134"/>
      <c r="AA473" s="134"/>
      <c r="AB473" s="134"/>
      <c r="AC473" s="134"/>
      <c r="AD473" s="134"/>
    </row>
    <row r="474" ht="15.75" customHeight="1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134"/>
      <c r="Y474" s="134"/>
      <c r="Z474" s="134"/>
      <c r="AA474" s="134"/>
      <c r="AB474" s="134"/>
      <c r="AC474" s="134"/>
      <c r="AD474" s="134"/>
    </row>
    <row r="475" ht="15.75" customHeight="1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134"/>
      <c r="Y475" s="134"/>
      <c r="Z475" s="134"/>
      <c r="AA475" s="134"/>
      <c r="AB475" s="134"/>
      <c r="AC475" s="134"/>
      <c r="AD475" s="134"/>
    </row>
    <row r="476" ht="15.75" customHeight="1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134"/>
      <c r="Y476" s="134"/>
      <c r="Z476" s="134"/>
      <c r="AA476" s="134"/>
      <c r="AB476" s="134"/>
      <c r="AC476" s="134"/>
      <c r="AD476" s="134"/>
    </row>
    <row r="477" ht="15.75" customHeight="1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134"/>
      <c r="Y477" s="134"/>
      <c r="Z477" s="134"/>
      <c r="AA477" s="134"/>
      <c r="AB477" s="134"/>
      <c r="AC477" s="134"/>
      <c r="AD477" s="134"/>
    </row>
    <row r="478" ht="15.75" customHeight="1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134"/>
      <c r="Y478" s="134"/>
      <c r="Z478" s="134"/>
      <c r="AA478" s="134"/>
      <c r="AB478" s="134"/>
      <c r="AC478" s="134"/>
      <c r="AD478" s="134"/>
    </row>
    <row r="479" ht="15.75" customHeight="1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134"/>
      <c r="Y479" s="134"/>
      <c r="Z479" s="134"/>
      <c r="AA479" s="134"/>
      <c r="AB479" s="134"/>
      <c r="AC479" s="134"/>
      <c r="AD479" s="134"/>
    </row>
    <row r="480" ht="15.75" customHeight="1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134"/>
      <c r="Y480" s="134"/>
      <c r="Z480" s="134"/>
      <c r="AA480" s="134"/>
      <c r="AB480" s="134"/>
      <c r="AC480" s="134"/>
      <c r="AD480" s="134"/>
    </row>
    <row r="481" ht="15.75" customHeight="1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134"/>
      <c r="Y481" s="134"/>
      <c r="Z481" s="134"/>
      <c r="AA481" s="134"/>
      <c r="AB481" s="134"/>
      <c r="AC481" s="134"/>
      <c r="AD481" s="134"/>
    </row>
    <row r="482" ht="15.75" customHeight="1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134"/>
      <c r="Y482" s="134"/>
      <c r="Z482" s="134"/>
      <c r="AA482" s="134"/>
      <c r="AB482" s="134"/>
      <c r="AC482" s="134"/>
      <c r="AD482" s="134"/>
    </row>
    <row r="483" ht="15.75" customHeight="1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134"/>
      <c r="Y483" s="134"/>
      <c r="Z483" s="134"/>
      <c r="AA483" s="134"/>
      <c r="AB483" s="134"/>
      <c r="AC483" s="134"/>
      <c r="AD483" s="134"/>
    </row>
    <row r="484" ht="15.75" customHeight="1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134"/>
      <c r="Y484" s="134"/>
      <c r="Z484" s="134"/>
      <c r="AA484" s="134"/>
      <c r="AB484" s="134"/>
      <c r="AC484" s="134"/>
      <c r="AD484" s="134"/>
    </row>
    <row r="485" ht="15.75" customHeight="1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134"/>
      <c r="Y485" s="134"/>
      <c r="Z485" s="134"/>
      <c r="AA485" s="134"/>
      <c r="AB485" s="134"/>
      <c r="AC485" s="134"/>
      <c r="AD485" s="134"/>
    </row>
    <row r="486" ht="15.75" customHeight="1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134"/>
      <c r="Y486" s="134"/>
      <c r="Z486" s="134"/>
      <c r="AA486" s="134"/>
      <c r="AB486" s="134"/>
      <c r="AC486" s="134"/>
      <c r="AD486" s="134"/>
    </row>
    <row r="487" ht="15.75" customHeight="1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134"/>
      <c r="Y487" s="134"/>
      <c r="Z487" s="134"/>
      <c r="AA487" s="134"/>
      <c r="AB487" s="134"/>
      <c r="AC487" s="134"/>
      <c r="AD487" s="134"/>
    </row>
    <row r="488" ht="15.75" customHeight="1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134"/>
      <c r="Y488" s="134"/>
      <c r="Z488" s="134"/>
      <c r="AA488" s="134"/>
      <c r="AB488" s="134"/>
      <c r="AC488" s="134"/>
      <c r="AD488" s="134"/>
    </row>
    <row r="489" ht="15.75" customHeight="1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134"/>
      <c r="Y489" s="134"/>
      <c r="Z489" s="134"/>
      <c r="AA489" s="134"/>
      <c r="AB489" s="134"/>
      <c r="AC489" s="134"/>
      <c r="AD489" s="134"/>
    </row>
    <row r="490" ht="15.75" customHeight="1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134"/>
      <c r="Y490" s="134"/>
      <c r="Z490" s="134"/>
      <c r="AA490" s="134"/>
      <c r="AB490" s="134"/>
      <c r="AC490" s="134"/>
      <c r="AD490" s="134"/>
    </row>
    <row r="491" ht="15.75" customHeight="1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134"/>
      <c r="Y491" s="134"/>
      <c r="Z491" s="134"/>
      <c r="AA491" s="134"/>
      <c r="AB491" s="134"/>
      <c r="AC491" s="134"/>
      <c r="AD491" s="134"/>
    </row>
    <row r="492" ht="15.75" customHeight="1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134"/>
      <c r="Y492" s="134"/>
      <c r="Z492" s="134"/>
      <c r="AA492" s="134"/>
      <c r="AB492" s="134"/>
      <c r="AC492" s="134"/>
      <c r="AD492" s="134"/>
    </row>
    <row r="493" ht="15.75" customHeight="1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134"/>
      <c r="Y493" s="134"/>
      <c r="Z493" s="134"/>
      <c r="AA493" s="134"/>
      <c r="AB493" s="134"/>
      <c r="AC493" s="134"/>
      <c r="AD493" s="134"/>
    </row>
    <row r="494" ht="15.75" customHeight="1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134"/>
      <c r="Y494" s="134"/>
      <c r="Z494" s="134"/>
      <c r="AA494" s="134"/>
      <c r="AB494" s="134"/>
      <c r="AC494" s="134"/>
      <c r="AD494" s="134"/>
    </row>
    <row r="495" ht="15.75" customHeight="1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134"/>
      <c r="Y495" s="134"/>
      <c r="Z495" s="134"/>
      <c r="AA495" s="134"/>
      <c r="AB495" s="134"/>
      <c r="AC495" s="134"/>
      <c r="AD495" s="134"/>
    </row>
    <row r="496" ht="15.75" customHeight="1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134"/>
      <c r="Y496" s="134"/>
      <c r="Z496" s="134"/>
      <c r="AA496" s="134"/>
      <c r="AB496" s="134"/>
      <c r="AC496" s="134"/>
      <c r="AD496" s="134"/>
    </row>
    <row r="497" ht="15.75" customHeight="1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134"/>
      <c r="Y497" s="134"/>
      <c r="Z497" s="134"/>
      <c r="AA497" s="134"/>
      <c r="AB497" s="134"/>
      <c r="AC497" s="134"/>
      <c r="AD497" s="134"/>
    </row>
    <row r="498" ht="15.75" customHeight="1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134"/>
      <c r="Y498" s="134"/>
      <c r="Z498" s="134"/>
      <c r="AA498" s="134"/>
      <c r="AB498" s="134"/>
      <c r="AC498" s="134"/>
      <c r="AD498" s="134"/>
    </row>
    <row r="499" ht="15.75" customHeight="1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134"/>
      <c r="Y499" s="134"/>
      <c r="Z499" s="134"/>
      <c r="AA499" s="134"/>
      <c r="AB499" s="134"/>
      <c r="AC499" s="134"/>
      <c r="AD499" s="134"/>
    </row>
    <row r="500" ht="15.75" customHeight="1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134"/>
      <c r="Y500" s="134"/>
      <c r="Z500" s="134"/>
      <c r="AA500" s="134"/>
      <c r="AB500" s="134"/>
      <c r="AC500" s="134"/>
      <c r="AD500" s="134"/>
    </row>
    <row r="501" ht="15.75" customHeight="1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134"/>
      <c r="Y501" s="134"/>
      <c r="Z501" s="134"/>
      <c r="AA501" s="134"/>
      <c r="AB501" s="134"/>
      <c r="AC501" s="134"/>
      <c r="AD501" s="134"/>
    </row>
    <row r="502" ht="15.75" customHeight="1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134"/>
      <c r="Y502" s="134"/>
      <c r="Z502" s="134"/>
      <c r="AA502" s="134"/>
      <c r="AB502" s="134"/>
      <c r="AC502" s="134"/>
      <c r="AD502" s="134"/>
    </row>
    <row r="503" ht="15.75" customHeight="1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134"/>
      <c r="Y503" s="134"/>
      <c r="Z503" s="134"/>
      <c r="AA503" s="134"/>
      <c r="AB503" s="134"/>
      <c r="AC503" s="134"/>
      <c r="AD503" s="134"/>
    </row>
    <row r="504" ht="15.75" customHeight="1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134"/>
      <c r="Y504" s="134"/>
      <c r="Z504" s="134"/>
      <c r="AA504" s="134"/>
      <c r="AB504" s="134"/>
      <c r="AC504" s="134"/>
      <c r="AD504" s="134"/>
    </row>
    <row r="505" ht="15.75" customHeight="1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134"/>
      <c r="Y505" s="134"/>
      <c r="Z505" s="134"/>
      <c r="AA505" s="134"/>
      <c r="AB505" s="134"/>
      <c r="AC505" s="134"/>
      <c r="AD505" s="134"/>
    </row>
    <row r="506" ht="15.75" customHeight="1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134"/>
      <c r="Y506" s="134"/>
      <c r="Z506" s="134"/>
      <c r="AA506" s="134"/>
      <c r="AB506" s="134"/>
      <c r="AC506" s="134"/>
      <c r="AD506" s="134"/>
    </row>
    <row r="507" ht="15.75" customHeight="1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134"/>
      <c r="Y507" s="134"/>
      <c r="Z507" s="134"/>
      <c r="AA507" s="134"/>
      <c r="AB507" s="134"/>
      <c r="AC507" s="134"/>
      <c r="AD507" s="134"/>
    </row>
    <row r="508" ht="15.75" customHeight="1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134"/>
      <c r="Y508" s="134"/>
      <c r="Z508" s="134"/>
      <c r="AA508" s="134"/>
      <c r="AB508" s="134"/>
      <c r="AC508" s="134"/>
      <c r="AD508" s="134"/>
    </row>
    <row r="509" ht="15.75" customHeight="1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134"/>
      <c r="Y509" s="134"/>
      <c r="Z509" s="134"/>
      <c r="AA509" s="134"/>
      <c r="AB509" s="134"/>
      <c r="AC509" s="134"/>
      <c r="AD509" s="134"/>
    </row>
    <row r="510" ht="15.75" customHeight="1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134"/>
      <c r="Y510" s="134"/>
      <c r="Z510" s="134"/>
      <c r="AA510" s="134"/>
      <c r="AB510" s="134"/>
      <c r="AC510" s="134"/>
      <c r="AD510" s="134"/>
    </row>
    <row r="511" ht="15.75" customHeight="1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134"/>
      <c r="Y511" s="134"/>
      <c r="Z511" s="134"/>
      <c r="AA511" s="134"/>
      <c r="AB511" s="134"/>
      <c r="AC511" s="134"/>
      <c r="AD511" s="134"/>
    </row>
    <row r="512" ht="15.75" customHeight="1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134"/>
      <c r="Y512" s="134"/>
      <c r="Z512" s="134"/>
      <c r="AA512" s="134"/>
      <c r="AB512" s="134"/>
      <c r="AC512" s="134"/>
      <c r="AD512" s="134"/>
    </row>
    <row r="513" ht="15.75" customHeight="1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134"/>
      <c r="Y513" s="134"/>
      <c r="Z513" s="134"/>
      <c r="AA513" s="134"/>
      <c r="AB513" s="134"/>
      <c r="AC513" s="134"/>
      <c r="AD513" s="134"/>
    </row>
    <row r="514" ht="15.75" customHeight="1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134"/>
      <c r="Y514" s="134"/>
      <c r="Z514" s="134"/>
      <c r="AA514" s="134"/>
      <c r="AB514" s="134"/>
      <c r="AC514" s="134"/>
      <c r="AD514" s="134"/>
    </row>
    <row r="515" ht="15.75" customHeight="1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134"/>
      <c r="Y515" s="134"/>
      <c r="Z515" s="134"/>
      <c r="AA515" s="134"/>
      <c r="AB515" s="134"/>
      <c r="AC515" s="134"/>
      <c r="AD515" s="134"/>
    </row>
    <row r="516" ht="15.75" customHeight="1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134"/>
      <c r="Y516" s="134"/>
      <c r="Z516" s="134"/>
      <c r="AA516" s="134"/>
      <c r="AB516" s="134"/>
      <c r="AC516" s="134"/>
      <c r="AD516" s="134"/>
    </row>
    <row r="517" ht="15.75" customHeight="1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134"/>
      <c r="Y517" s="134"/>
      <c r="Z517" s="134"/>
      <c r="AA517" s="134"/>
      <c r="AB517" s="134"/>
      <c r="AC517" s="134"/>
      <c r="AD517" s="134"/>
    </row>
    <row r="518" ht="15.75" customHeight="1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134"/>
      <c r="Y518" s="134"/>
      <c r="Z518" s="134"/>
      <c r="AA518" s="134"/>
      <c r="AB518" s="134"/>
      <c r="AC518" s="134"/>
      <c r="AD518" s="134"/>
    </row>
    <row r="519" ht="15.75" customHeight="1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134"/>
      <c r="Y519" s="134"/>
      <c r="Z519" s="134"/>
      <c r="AA519" s="134"/>
      <c r="AB519" s="134"/>
      <c r="AC519" s="134"/>
      <c r="AD519" s="134"/>
    </row>
    <row r="520" ht="15.75" customHeight="1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134"/>
      <c r="Y520" s="134"/>
      <c r="Z520" s="134"/>
      <c r="AA520" s="134"/>
      <c r="AB520" s="134"/>
      <c r="AC520" s="134"/>
      <c r="AD520" s="134"/>
    </row>
    <row r="521" ht="15.75" customHeight="1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134"/>
      <c r="Y521" s="134"/>
      <c r="Z521" s="134"/>
      <c r="AA521" s="134"/>
      <c r="AB521" s="134"/>
      <c r="AC521" s="134"/>
      <c r="AD521" s="134"/>
    </row>
    <row r="522" ht="15.75" customHeight="1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134"/>
      <c r="Y522" s="134"/>
      <c r="Z522" s="134"/>
      <c r="AA522" s="134"/>
      <c r="AB522" s="134"/>
      <c r="AC522" s="134"/>
      <c r="AD522" s="134"/>
    </row>
    <row r="523" ht="15.75" customHeight="1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134"/>
      <c r="Y523" s="134"/>
      <c r="Z523" s="134"/>
      <c r="AA523" s="134"/>
      <c r="AB523" s="134"/>
      <c r="AC523" s="134"/>
      <c r="AD523" s="134"/>
    </row>
    <row r="524" ht="15.75" customHeight="1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134"/>
      <c r="Y524" s="134"/>
      <c r="Z524" s="134"/>
      <c r="AA524" s="134"/>
      <c r="AB524" s="134"/>
      <c r="AC524" s="134"/>
      <c r="AD524" s="134"/>
    </row>
    <row r="525" ht="15.75" customHeight="1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134"/>
      <c r="Y525" s="134"/>
      <c r="Z525" s="134"/>
      <c r="AA525" s="134"/>
      <c r="AB525" s="134"/>
      <c r="AC525" s="134"/>
      <c r="AD525" s="134"/>
    </row>
    <row r="526" ht="15.75" customHeight="1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134"/>
      <c r="Y526" s="134"/>
      <c r="Z526" s="134"/>
      <c r="AA526" s="134"/>
      <c r="AB526" s="134"/>
      <c r="AC526" s="134"/>
      <c r="AD526" s="134"/>
    </row>
    <row r="527" ht="15.75" customHeight="1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134"/>
      <c r="Y527" s="134"/>
      <c r="Z527" s="134"/>
      <c r="AA527" s="134"/>
      <c r="AB527" s="134"/>
      <c r="AC527" s="134"/>
      <c r="AD527" s="134"/>
    </row>
    <row r="528" ht="15.75" customHeight="1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134"/>
      <c r="Y528" s="134"/>
      <c r="Z528" s="134"/>
      <c r="AA528" s="134"/>
      <c r="AB528" s="134"/>
      <c r="AC528" s="134"/>
      <c r="AD528" s="134"/>
    </row>
    <row r="529" ht="15.75" customHeight="1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134"/>
      <c r="Y529" s="134"/>
      <c r="Z529" s="134"/>
      <c r="AA529" s="134"/>
      <c r="AB529" s="134"/>
      <c r="AC529" s="134"/>
      <c r="AD529" s="134"/>
    </row>
    <row r="530" ht="15.75" customHeight="1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134"/>
      <c r="Y530" s="134"/>
      <c r="Z530" s="134"/>
      <c r="AA530" s="134"/>
      <c r="AB530" s="134"/>
      <c r="AC530" s="134"/>
      <c r="AD530" s="134"/>
    </row>
    <row r="531" ht="15.75" customHeight="1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134"/>
      <c r="Y531" s="134"/>
      <c r="Z531" s="134"/>
      <c r="AA531" s="134"/>
      <c r="AB531" s="134"/>
      <c r="AC531" s="134"/>
      <c r="AD531" s="134"/>
    </row>
    <row r="532" ht="15.75" customHeight="1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134"/>
      <c r="Y532" s="134"/>
      <c r="Z532" s="134"/>
      <c r="AA532" s="134"/>
      <c r="AB532" s="134"/>
      <c r="AC532" s="134"/>
      <c r="AD532" s="134"/>
    </row>
    <row r="533" ht="15.75" customHeight="1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134"/>
      <c r="Y533" s="134"/>
      <c r="Z533" s="134"/>
      <c r="AA533" s="134"/>
      <c r="AB533" s="134"/>
      <c r="AC533" s="134"/>
      <c r="AD533" s="134"/>
    </row>
    <row r="534" ht="15.75" customHeight="1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134"/>
      <c r="Y534" s="134"/>
      <c r="Z534" s="134"/>
      <c r="AA534" s="134"/>
      <c r="AB534" s="134"/>
      <c r="AC534" s="134"/>
      <c r="AD534" s="134"/>
    </row>
    <row r="535" ht="15.75" customHeight="1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134"/>
      <c r="Y535" s="134"/>
      <c r="Z535" s="134"/>
      <c r="AA535" s="134"/>
      <c r="AB535" s="134"/>
      <c r="AC535" s="134"/>
      <c r="AD535" s="134"/>
    </row>
    <row r="536" ht="15.75" customHeight="1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134"/>
      <c r="Y536" s="134"/>
      <c r="Z536" s="134"/>
      <c r="AA536" s="134"/>
      <c r="AB536" s="134"/>
      <c r="AC536" s="134"/>
      <c r="AD536" s="134"/>
    </row>
    <row r="537" ht="15.75" customHeight="1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134"/>
      <c r="Y537" s="134"/>
      <c r="Z537" s="134"/>
      <c r="AA537" s="134"/>
      <c r="AB537" s="134"/>
      <c r="AC537" s="134"/>
      <c r="AD537" s="134"/>
    </row>
    <row r="538" ht="15.75" customHeight="1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134"/>
      <c r="Y538" s="134"/>
      <c r="Z538" s="134"/>
      <c r="AA538" s="134"/>
      <c r="AB538" s="134"/>
      <c r="AC538" s="134"/>
      <c r="AD538" s="134"/>
    </row>
    <row r="539" ht="15.75" customHeight="1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134"/>
      <c r="Y539" s="134"/>
      <c r="Z539" s="134"/>
      <c r="AA539" s="134"/>
      <c r="AB539" s="134"/>
      <c r="AC539" s="134"/>
      <c r="AD539" s="134"/>
    </row>
    <row r="540" ht="15.75" customHeight="1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134"/>
      <c r="Y540" s="134"/>
      <c r="Z540" s="134"/>
      <c r="AA540" s="134"/>
      <c r="AB540" s="134"/>
      <c r="AC540" s="134"/>
      <c r="AD540" s="134"/>
    </row>
    <row r="541" ht="15.75" customHeight="1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134"/>
      <c r="Y541" s="134"/>
      <c r="Z541" s="134"/>
      <c r="AA541" s="134"/>
      <c r="AB541" s="134"/>
      <c r="AC541" s="134"/>
      <c r="AD541" s="134"/>
    </row>
    <row r="542" ht="15.75" customHeight="1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134"/>
      <c r="Y542" s="134"/>
      <c r="Z542" s="134"/>
      <c r="AA542" s="134"/>
      <c r="AB542" s="134"/>
      <c r="AC542" s="134"/>
      <c r="AD542" s="134"/>
    </row>
    <row r="543" ht="15.75" customHeight="1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134"/>
      <c r="Y543" s="134"/>
      <c r="Z543" s="134"/>
      <c r="AA543" s="134"/>
      <c r="AB543" s="134"/>
      <c r="AC543" s="134"/>
      <c r="AD543" s="134"/>
    </row>
    <row r="544" ht="15.75" customHeight="1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134"/>
      <c r="Y544" s="134"/>
      <c r="Z544" s="134"/>
      <c r="AA544" s="134"/>
      <c r="AB544" s="134"/>
      <c r="AC544" s="134"/>
      <c r="AD544" s="134"/>
    </row>
    <row r="545" ht="15.75" customHeight="1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134"/>
      <c r="Y545" s="134"/>
      <c r="Z545" s="134"/>
      <c r="AA545" s="134"/>
      <c r="AB545" s="134"/>
      <c r="AC545" s="134"/>
      <c r="AD545" s="134"/>
    </row>
    <row r="546" ht="15.75" customHeight="1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134"/>
      <c r="Y546" s="134"/>
      <c r="Z546" s="134"/>
      <c r="AA546" s="134"/>
      <c r="AB546" s="134"/>
      <c r="AC546" s="134"/>
      <c r="AD546" s="134"/>
    </row>
    <row r="547" ht="15.75" customHeight="1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134"/>
      <c r="Y547" s="134"/>
      <c r="Z547" s="134"/>
      <c r="AA547" s="134"/>
      <c r="AB547" s="134"/>
      <c r="AC547" s="134"/>
      <c r="AD547" s="134"/>
    </row>
    <row r="548" ht="15.75" customHeight="1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134"/>
      <c r="Y548" s="134"/>
      <c r="Z548" s="134"/>
      <c r="AA548" s="134"/>
      <c r="AB548" s="134"/>
      <c r="AC548" s="134"/>
      <c r="AD548" s="134"/>
    </row>
    <row r="549" ht="15.75" customHeight="1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134"/>
      <c r="Y549" s="134"/>
      <c r="Z549" s="134"/>
      <c r="AA549" s="134"/>
      <c r="AB549" s="134"/>
      <c r="AC549" s="134"/>
      <c r="AD549" s="134"/>
    </row>
    <row r="550" ht="15.75" customHeight="1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134"/>
      <c r="Y550" s="134"/>
      <c r="Z550" s="134"/>
      <c r="AA550" s="134"/>
      <c r="AB550" s="134"/>
      <c r="AC550" s="134"/>
      <c r="AD550" s="134"/>
    </row>
    <row r="551" ht="15.75" customHeight="1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134"/>
      <c r="Y551" s="134"/>
      <c r="Z551" s="134"/>
      <c r="AA551" s="134"/>
      <c r="AB551" s="134"/>
      <c r="AC551" s="134"/>
      <c r="AD551" s="134"/>
    </row>
    <row r="552" ht="15.75" customHeight="1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134"/>
      <c r="Y552" s="134"/>
      <c r="Z552" s="134"/>
      <c r="AA552" s="134"/>
      <c r="AB552" s="134"/>
      <c r="AC552" s="134"/>
      <c r="AD552" s="134"/>
    </row>
    <row r="553" ht="15.75" customHeight="1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134"/>
      <c r="Y553" s="134"/>
      <c r="Z553" s="134"/>
      <c r="AA553" s="134"/>
      <c r="AB553" s="134"/>
      <c r="AC553" s="134"/>
      <c r="AD553" s="134"/>
    </row>
    <row r="554" ht="15.75" customHeight="1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134"/>
      <c r="Y554" s="134"/>
      <c r="Z554" s="134"/>
      <c r="AA554" s="134"/>
      <c r="AB554" s="134"/>
      <c r="AC554" s="134"/>
      <c r="AD554" s="134"/>
    </row>
    <row r="555" ht="15.75" customHeight="1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134"/>
      <c r="Y555" s="134"/>
      <c r="Z555" s="134"/>
      <c r="AA555" s="134"/>
      <c r="AB555" s="134"/>
      <c r="AC555" s="134"/>
      <c r="AD555" s="134"/>
    </row>
    <row r="556" ht="15.75" customHeight="1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134"/>
      <c r="Y556" s="134"/>
      <c r="Z556" s="134"/>
      <c r="AA556" s="134"/>
      <c r="AB556" s="134"/>
      <c r="AC556" s="134"/>
      <c r="AD556" s="134"/>
    </row>
    <row r="557" ht="15.75" customHeight="1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134"/>
      <c r="Y557" s="134"/>
      <c r="Z557" s="134"/>
      <c r="AA557" s="134"/>
      <c r="AB557" s="134"/>
      <c r="AC557" s="134"/>
      <c r="AD557" s="134"/>
    </row>
    <row r="558" ht="15.75" customHeight="1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134"/>
      <c r="Y558" s="134"/>
      <c r="Z558" s="134"/>
      <c r="AA558" s="134"/>
      <c r="AB558" s="134"/>
      <c r="AC558" s="134"/>
      <c r="AD558" s="134"/>
    </row>
    <row r="559" ht="15.75" customHeight="1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134"/>
      <c r="Y559" s="134"/>
      <c r="Z559" s="134"/>
      <c r="AA559" s="134"/>
      <c r="AB559" s="134"/>
      <c r="AC559" s="134"/>
      <c r="AD559" s="134"/>
    </row>
    <row r="560" ht="15.75" customHeight="1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134"/>
      <c r="Y560" s="134"/>
      <c r="Z560" s="134"/>
      <c r="AA560" s="134"/>
      <c r="AB560" s="134"/>
      <c r="AC560" s="134"/>
      <c r="AD560" s="134"/>
    </row>
    <row r="561" ht="15.75" customHeight="1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134"/>
      <c r="Y561" s="134"/>
      <c r="Z561" s="134"/>
      <c r="AA561" s="134"/>
      <c r="AB561" s="134"/>
      <c r="AC561" s="134"/>
      <c r="AD561" s="134"/>
    </row>
    <row r="562" ht="15.75" customHeight="1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134"/>
      <c r="Y562" s="134"/>
      <c r="Z562" s="134"/>
      <c r="AA562" s="134"/>
      <c r="AB562" s="134"/>
      <c r="AC562" s="134"/>
      <c r="AD562" s="134"/>
    </row>
    <row r="563" ht="15.75" customHeight="1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134"/>
      <c r="Y563" s="134"/>
      <c r="Z563" s="134"/>
      <c r="AA563" s="134"/>
      <c r="AB563" s="134"/>
      <c r="AC563" s="134"/>
      <c r="AD563" s="134"/>
    </row>
    <row r="564" ht="15.75" customHeight="1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134"/>
      <c r="Y564" s="134"/>
      <c r="Z564" s="134"/>
      <c r="AA564" s="134"/>
      <c r="AB564" s="134"/>
      <c r="AC564" s="134"/>
      <c r="AD564" s="134"/>
    </row>
    <row r="565" ht="15.75" customHeight="1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134"/>
      <c r="Y565" s="134"/>
      <c r="Z565" s="134"/>
      <c r="AA565" s="134"/>
      <c r="AB565" s="134"/>
      <c r="AC565" s="134"/>
      <c r="AD565" s="134"/>
    </row>
    <row r="566" ht="15.75" customHeight="1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134"/>
      <c r="Y566" s="134"/>
      <c r="Z566" s="134"/>
      <c r="AA566" s="134"/>
      <c r="AB566" s="134"/>
      <c r="AC566" s="134"/>
      <c r="AD566" s="134"/>
    </row>
    <row r="567" ht="15.75" customHeight="1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134"/>
      <c r="Y567" s="134"/>
      <c r="Z567" s="134"/>
      <c r="AA567" s="134"/>
      <c r="AB567" s="134"/>
      <c r="AC567" s="134"/>
      <c r="AD567" s="134"/>
    </row>
    <row r="568" ht="15.75" customHeight="1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134"/>
      <c r="Y568" s="134"/>
      <c r="Z568" s="134"/>
      <c r="AA568" s="134"/>
      <c r="AB568" s="134"/>
      <c r="AC568" s="134"/>
      <c r="AD568" s="134"/>
    </row>
    <row r="569" ht="15.75" customHeight="1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134"/>
      <c r="Y569" s="134"/>
      <c r="Z569" s="134"/>
      <c r="AA569" s="134"/>
      <c r="AB569" s="134"/>
      <c r="AC569" s="134"/>
      <c r="AD569" s="134"/>
    </row>
    <row r="570" ht="15.75" customHeight="1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134"/>
      <c r="Y570" s="134"/>
      <c r="Z570" s="134"/>
      <c r="AA570" s="134"/>
      <c r="AB570" s="134"/>
      <c r="AC570" s="134"/>
      <c r="AD570" s="134"/>
    </row>
    <row r="571" ht="15.75" customHeight="1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134"/>
      <c r="Y571" s="134"/>
      <c r="Z571" s="134"/>
      <c r="AA571" s="134"/>
      <c r="AB571" s="134"/>
      <c r="AC571" s="134"/>
      <c r="AD571" s="134"/>
    </row>
    <row r="572" ht="15.75" customHeight="1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134"/>
      <c r="Y572" s="134"/>
      <c r="Z572" s="134"/>
      <c r="AA572" s="134"/>
      <c r="AB572" s="134"/>
      <c r="AC572" s="134"/>
      <c r="AD572" s="134"/>
    </row>
    <row r="573" ht="15.75" customHeight="1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134"/>
      <c r="Y573" s="134"/>
      <c r="Z573" s="134"/>
      <c r="AA573" s="134"/>
      <c r="AB573" s="134"/>
      <c r="AC573" s="134"/>
      <c r="AD573" s="134"/>
    </row>
    <row r="574" ht="15.75" customHeight="1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134"/>
      <c r="Y574" s="134"/>
      <c r="Z574" s="134"/>
      <c r="AA574" s="134"/>
      <c r="AB574" s="134"/>
      <c r="AC574" s="134"/>
      <c r="AD574" s="134"/>
    </row>
    <row r="575" ht="15.75" customHeight="1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134"/>
      <c r="Y575" s="134"/>
      <c r="Z575" s="134"/>
      <c r="AA575" s="134"/>
      <c r="AB575" s="134"/>
      <c r="AC575" s="134"/>
      <c r="AD575" s="134"/>
    </row>
    <row r="576" ht="15.75" customHeight="1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134"/>
      <c r="Y576" s="134"/>
      <c r="Z576" s="134"/>
      <c r="AA576" s="134"/>
      <c r="AB576" s="134"/>
      <c r="AC576" s="134"/>
      <c r="AD576" s="134"/>
    </row>
    <row r="577" ht="15.75" customHeight="1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134"/>
      <c r="Y577" s="134"/>
      <c r="Z577" s="134"/>
      <c r="AA577" s="134"/>
      <c r="AB577" s="134"/>
      <c r="AC577" s="134"/>
      <c r="AD577" s="134"/>
    </row>
    <row r="578" ht="15.75" customHeight="1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134"/>
      <c r="Y578" s="134"/>
      <c r="Z578" s="134"/>
      <c r="AA578" s="134"/>
      <c r="AB578" s="134"/>
      <c r="AC578" s="134"/>
      <c r="AD578" s="134"/>
    </row>
    <row r="579" ht="15.75" customHeight="1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134"/>
      <c r="Y579" s="134"/>
      <c r="Z579" s="134"/>
      <c r="AA579" s="134"/>
      <c r="AB579" s="134"/>
      <c r="AC579" s="134"/>
      <c r="AD579" s="134"/>
    </row>
    <row r="580" ht="15.75" customHeight="1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134"/>
      <c r="Y580" s="134"/>
      <c r="Z580" s="134"/>
      <c r="AA580" s="134"/>
      <c r="AB580" s="134"/>
      <c r="AC580" s="134"/>
      <c r="AD580" s="134"/>
    </row>
    <row r="581" ht="15.75" customHeight="1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134"/>
      <c r="Y581" s="134"/>
      <c r="Z581" s="134"/>
      <c r="AA581" s="134"/>
      <c r="AB581" s="134"/>
      <c r="AC581" s="134"/>
      <c r="AD581" s="134"/>
    </row>
    <row r="582" ht="15.75" customHeight="1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134"/>
      <c r="Y582" s="134"/>
      <c r="Z582" s="134"/>
      <c r="AA582" s="134"/>
      <c r="AB582" s="134"/>
      <c r="AC582" s="134"/>
      <c r="AD582" s="134"/>
    </row>
    <row r="583" ht="15.75" customHeight="1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134"/>
      <c r="Y583" s="134"/>
      <c r="Z583" s="134"/>
      <c r="AA583" s="134"/>
      <c r="AB583" s="134"/>
      <c r="AC583" s="134"/>
      <c r="AD583" s="134"/>
    </row>
    <row r="584" ht="15.75" customHeight="1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134"/>
      <c r="Y584" s="134"/>
      <c r="Z584" s="134"/>
      <c r="AA584" s="134"/>
      <c r="AB584" s="134"/>
      <c r="AC584" s="134"/>
      <c r="AD584" s="134"/>
    </row>
    <row r="585" ht="15.75" customHeight="1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134"/>
      <c r="Y585" s="134"/>
      <c r="Z585" s="134"/>
      <c r="AA585" s="134"/>
      <c r="AB585" s="134"/>
      <c r="AC585" s="134"/>
      <c r="AD585" s="134"/>
    </row>
    <row r="586" ht="15.75" customHeight="1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134"/>
      <c r="Y586" s="134"/>
      <c r="Z586" s="134"/>
      <c r="AA586" s="134"/>
      <c r="AB586" s="134"/>
      <c r="AC586" s="134"/>
      <c r="AD586" s="134"/>
    </row>
    <row r="587" ht="15.75" customHeight="1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134"/>
      <c r="Y587" s="134"/>
      <c r="Z587" s="134"/>
      <c r="AA587" s="134"/>
      <c r="AB587" s="134"/>
      <c r="AC587" s="134"/>
      <c r="AD587" s="134"/>
    </row>
    <row r="588" ht="15.75" customHeight="1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134"/>
      <c r="Y588" s="134"/>
      <c r="Z588" s="134"/>
      <c r="AA588" s="134"/>
      <c r="AB588" s="134"/>
      <c r="AC588" s="134"/>
      <c r="AD588" s="134"/>
    </row>
    <row r="589" ht="15.75" customHeight="1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134"/>
      <c r="Y589" s="134"/>
      <c r="Z589" s="134"/>
      <c r="AA589" s="134"/>
      <c r="AB589" s="134"/>
      <c r="AC589" s="134"/>
      <c r="AD589" s="134"/>
    </row>
    <row r="590" ht="15.75" customHeight="1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134"/>
      <c r="Y590" s="134"/>
      <c r="Z590" s="134"/>
      <c r="AA590" s="134"/>
      <c r="AB590" s="134"/>
      <c r="AC590" s="134"/>
      <c r="AD590" s="134"/>
    </row>
    <row r="591" ht="15.75" customHeight="1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134"/>
      <c r="Y591" s="134"/>
      <c r="Z591" s="134"/>
      <c r="AA591" s="134"/>
      <c r="AB591" s="134"/>
      <c r="AC591" s="134"/>
      <c r="AD591" s="134"/>
    </row>
    <row r="592" ht="15.75" customHeight="1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134"/>
      <c r="Y592" s="134"/>
      <c r="Z592" s="134"/>
      <c r="AA592" s="134"/>
      <c r="AB592" s="134"/>
      <c r="AC592" s="134"/>
      <c r="AD592" s="134"/>
    </row>
    <row r="593" ht="15.75" customHeight="1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134"/>
      <c r="Y593" s="134"/>
      <c r="Z593" s="134"/>
      <c r="AA593" s="134"/>
      <c r="AB593" s="134"/>
      <c r="AC593" s="134"/>
      <c r="AD593" s="134"/>
    </row>
    <row r="594" ht="15.75" customHeight="1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134"/>
      <c r="Y594" s="134"/>
      <c r="Z594" s="134"/>
      <c r="AA594" s="134"/>
      <c r="AB594" s="134"/>
      <c r="AC594" s="134"/>
      <c r="AD594" s="134"/>
    </row>
    <row r="595" ht="15.75" customHeight="1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134"/>
      <c r="Y595" s="134"/>
      <c r="Z595" s="134"/>
      <c r="AA595" s="134"/>
      <c r="AB595" s="134"/>
      <c r="AC595" s="134"/>
      <c r="AD595" s="134"/>
    </row>
    <row r="596" ht="15.75" customHeight="1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134"/>
      <c r="Y596" s="134"/>
      <c r="Z596" s="134"/>
      <c r="AA596" s="134"/>
      <c r="AB596" s="134"/>
      <c r="AC596" s="134"/>
      <c r="AD596" s="134"/>
    </row>
    <row r="597" ht="15.75" customHeight="1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134"/>
      <c r="Y597" s="134"/>
      <c r="Z597" s="134"/>
      <c r="AA597" s="134"/>
      <c r="AB597" s="134"/>
      <c r="AC597" s="134"/>
      <c r="AD597" s="134"/>
    </row>
    <row r="598" ht="15.75" customHeight="1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134"/>
      <c r="Y598" s="134"/>
      <c r="Z598" s="134"/>
      <c r="AA598" s="134"/>
      <c r="AB598" s="134"/>
      <c r="AC598" s="134"/>
      <c r="AD598" s="134"/>
    </row>
    <row r="599" ht="15.75" customHeight="1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134"/>
      <c r="Y599" s="134"/>
      <c r="Z599" s="134"/>
      <c r="AA599" s="134"/>
      <c r="AB599" s="134"/>
      <c r="AC599" s="134"/>
      <c r="AD599" s="134"/>
    </row>
    <row r="600" ht="15.75" customHeight="1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134"/>
      <c r="Y600" s="134"/>
      <c r="Z600" s="134"/>
      <c r="AA600" s="134"/>
      <c r="AB600" s="134"/>
      <c r="AC600" s="134"/>
      <c r="AD600" s="134"/>
    </row>
    <row r="601" ht="15.75" customHeight="1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134"/>
      <c r="Y601" s="134"/>
      <c r="Z601" s="134"/>
      <c r="AA601" s="134"/>
      <c r="AB601" s="134"/>
      <c r="AC601" s="134"/>
      <c r="AD601" s="134"/>
    </row>
    <row r="602" ht="15.75" customHeight="1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134"/>
      <c r="Y602" s="134"/>
      <c r="Z602" s="134"/>
      <c r="AA602" s="134"/>
      <c r="AB602" s="134"/>
      <c r="AC602" s="134"/>
      <c r="AD602" s="134"/>
    </row>
    <row r="603" ht="15.75" customHeight="1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134"/>
      <c r="Y603" s="134"/>
      <c r="Z603" s="134"/>
      <c r="AA603" s="134"/>
      <c r="AB603" s="134"/>
      <c r="AC603" s="134"/>
      <c r="AD603" s="134"/>
    </row>
    <row r="604" ht="15.75" customHeight="1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134"/>
      <c r="Y604" s="134"/>
      <c r="Z604" s="134"/>
      <c r="AA604" s="134"/>
      <c r="AB604" s="134"/>
      <c r="AC604" s="134"/>
      <c r="AD604" s="134"/>
    </row>
    <row r="605" ht="15.75" customHeight="1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134"/>
      <c r="Y605" s="134"/>
      <c r="Z605" s="134"/>
      <c r="AA605" s="134"/>
      <c r="AB605" s="134"/>
      <c r="AC605" s="134"/>
      <c r="AD605" s="134"/>
    </row>
    <row r="606" ht="15.75" customHeight="1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134"/>
      <c r="Y606" s="134"/>
      <c r="Z606" s="134"/>
      <c r="AA606" s="134"/>
      <c r="AB606" s="134"/>
      <c r="AC606" s="134"/>
      <c r="AD606" s="134"/>
    </row>
    <row r="607" ht="15.75" customHeight="1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134"/>
      <c r="Y607" s="134"/>
      <c r="Z607" s="134"/>
      <c r="AA607" s="134"/>
      <c r="AB607" s="134"/>
      <c r="AC607" s="134"/>
      <c r="AD607" s="134"/>
    </row>
    <row r="608" ht="15.75" customHeight="1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134"/>
      <c r="Y608" s="134"/>
      <c r="Z608" s="134"/>
      <c r="AA608" s="134"/>
      <c r="AB608" s="134"/>
      <c r="AC608" s="134"/>
      <c r="AD608" s="134"/>
    </row>
    <row r="609" ht="15.75" customHeight="1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134"/>
      <c r="Y609" s="134"/>
      <c r="Z609" s="134"/>
      <c r="AA609" s="134"/>
      <c r="AB609" s="134"/>
      <c r="AC609" s="134"/>
      <c r="AD609" s="134"/>
    </row>
    <row r="610" ht="15.75" customHeight="1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134"/>
      <c r="Y610" s="134"/>
      <c r="Z610" s="134"/>
      <c r="AA610" s="134"/>
      <c r="AB610" s="134"/>
      <c r="AC610" s="134"/>
      <c r="AD610" s="134"/>
    </row>
    <row r="611" ht="15.75" customHeight="1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134"/>
      <c r="Y611" s="134"/>
      <c r="Z611" s="134"/>
      <c r="AA611" s="134"/>
      <c r="AB611" s="134"/>
      <c r="AC611" s="134"/>
      <c r="AD611" s="134"/>
    </row>
    <row r="612" ht="15.75" customHeight="1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134"/>
      <c r="Y612" s="134"/>
      <c r="Z612" s="134"/>
      <c r="AA612" s="134"/>
      <c r="AB612" s="134"/>
      <c r="AC612" s="134"/>
      <c r="AD612" s="134"/>
    </row>
    <row r="613" ht="15.75" customHeight="1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134"/>
      <c r="Y613" s="134"/>
      <c r="Z613" s="134"/>
      <c r="AA613" s="134"/>
      <c r="AB613" s="134"/>
      <c r="AC613" s="134"/>
      <c r="AD613" s="134"/>
    </row>
    <row r="614" ht="15.75" customHeight="1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134"/>
      <c r="Y614" s="134"/>
      <c r="Z614" s="134"/>
      <c r="AA614" s="134"/>
      <c r="AB614" s="134"/>
      <c r="AC614" s="134"/>
      <c r="AD614" s="134"/>
    </row>
    <row r="615" ht="15.75" customHeight="1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134"/>
      <c r="Y615" s="134"/>
      <c r="Z615" s="134"/>
      <c r="AA615" s="134"/>
      <c r="AB615" s="134"/>
      <c r="AC615" s="134"/>
      <c r="AD615" s="134"/>
    </row>
    <row r="616" ht="15.75" customHeight="1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134"/>
      <c r="Y616" s="134"/>
      <c r="Z616" s="134"/>
      <c r="AA616" s="134"/>
      <c r="AB616" s="134"/>
      <c r="AC616" s="134"/>
      <c r="AD616" s="134"/>
    </row>
    <row r="617" ht="15.75" customHeight="1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134"/>
      <c r="Y617" s="134"/>
      <c r="Z617" s="134"/>
      <c r="AA617" s="134"/>
      <c r="AB617" s="134"/>
      <c r="AC617" s="134"/>
      <c r="AD617" s="134"/>
    </row>
    <row r="618" ht="15.75" customHeight="1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134"/>
      <c r="Y618" s="134"/>
      <c r="Z618" s="134"/>
      <c r="AA618" s="134"/>
      <c r="AB618" s="134"/>
      <c r="AC618" s="134"/>
      <c r="AD618" s="134"/>
    </row>
    <row r="619" ht="15.75" customHeight="1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134"/>
      <c r="Y619" s="134"/>
      <c r="Z619" s="134"/>
      <c r="AA619" s="134"/>
      <c r="AB619" s="134"/>
      <c r="AC619" s="134"/>
      <c r="AD619" s="134"/>
    </row>
    <row r="620" ht="15.75" customHeight="1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134"/>
      <c r="Y620" s="134"/>
      <c r="Z620" s="134"/>
      <c r="AA620" s="134"/>
      <c r="AB620" s="134"/>
      <c r="AC620" s="134"/>
      <c r="AD620" s="134"/>
    </row>
    <row r="621" ht="15.75" customHeight="1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134"/>
      <c r="Y621" s="134"/>
      <c r="Z621" s="134"/>
      <c r="AA621" s="134"/>
      <c r="AB621" s="134"/>
      <c r="AC621" s="134"/>
      <c r="AD621" s="134"/>
    </row>
    <row r="622" ht="15.75" customHeight="1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134"/>
      <c r="Y622" s="134"/>
      <c r="Z622" s="134"/>
      <c r="AA622" s="134"/>
      <c r="AB622" s="134"/>
      <c r="AC622" s="134"/>
      <c r="AD622" s="134"/>
    </row>
    <row r="623" ht="15.75" customHeight="1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134"/>
      <c r="Y623" s="134"/>
      <c r="Z623" s="134"/>
      <c r="AA623" s="134"/>
      <c r="AB623" s="134"/>
      <c r="AC623" s="134"/>
      <c r="AD623" s="134"/>
    </row>
    <row r="624" ht="15.75" customHeight="1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134"/>
      <c r="Y624" s="134"/>
      <c r="Z624" s="134"/>
      <c r="AA624" s="134"/>
      <c r="AB624" s="134"/>
      <c r="AC624" s="134"/>
      <c r="AD624" s="134"/>
    </row>
    <row r="625" ht="15.75" customHeight="1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134"/>
      <c r="Y625" s="134"/>
      <c r="Z625" s="134"/>
      <c r="AA625" s="134"/>
      <c r="AB625" s="134"/>
      <c r="AC625" s="134"/>
      <c r="AD625" s="134"/>
    </row>
    <row r="626" ht="15.75" customHeight="1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134"/>
      <c r="Y626" s="134"/>
      <c r="Z626" s="134"/>
      <c r="AA626" s="134"/>
      <c r="AB626" s="134"/>
      <c r="AC626" s="134"/>
      <c r="AD626" s="134"/>
    </row>
    <row r="627" ht="15.75" customHeight="1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134"/>
      <c r="Y627" s="134"/>
      <c r="Z627" s="134"/>
      <c r="AA627" s="134"/>
      <c r="AB627" s="134"/>
      <c r="AC627" s="134"/>
      <c r="AD627" s="134"/>
    </row>
    <row r="628" ht="15.75" customHeight="1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134"/>
      <c r="Y628" s="134"/>
      <c r="Z628" s="134"/>
      <c r="AA628" s="134"/>
      <c r="AB628" s="134"/>
      <c r="AC628" s="134"/>
      <c r="AD628" s="134"/>
    </row>
    <row r="629" ht="15.75" customHeight="1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134"/>
      <c r="Y629" s="134"/>
      <c r="Z629" s="134"/>
      <c r="AA629" s="134"/>
      <c r="AB629" s="134"/>
      <c r="AC629" s="134"/>
      <c r="AD629" s="134"/>
    </row>
    <row r="630" ht="15.75" customHeight="1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134"/>
      <c r="Y630" s="134"/>
      <c r="Z630" s="134"/>
      <c r="AA630" s="134"/>
      <c r="AB630" s="134"/>
      <c r="AC630" s="134"/>
      <c r="AD630" s="134"/>
    </row>
    <row r="631" ht="15.75" customHeight="1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134"/>
      <c r="Y631" s="134"/>
      <c r="Z631" s="134"/>
      <c r="AA631" s="134"/>
      <c r="AB631" s="134"/>
      <c r="AC631" s="134"/>
      <c r="AD631" s="134"/>
    </row>
    <row r="632" ht="15.75" customHeight="1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134"/>
      <c r="Y632" s="134"/>
      <c r="Z632" s="134"/>
      <c r="AA632" s="134"/>
      <c r="AB632" s="134"/>
      <c r="AC632" s="134"/>
      <c r="AD632" s="134"/>
    </row>
    <row r="633" ht="15.75" customHeight="1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134"/>
      <c r="Y633" s="134"/>
      <c r="Z633" s="134"/>
      <c r="AA633" s="134"/>
      <c r="AB633" s="134"/>
      <c r="AC633" s="134"/>
      <c r="AD633" s="134"/>
    </row>
    <row r="634" ht="15.75" customHeight="1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134"/>
      <c r="Y634" s="134"/>
      <c r="Z634" s="134"/>
      <c r="AA634" s="134"/>
      <c r="AB634" s="134"/>
      <c r="AC634" s="134"/>
      <c r="AD634" s="134"/>
    </row>
    <row r="635" ht="15.75" customHeight="1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134"/>
      <c r="Y635" s="134"/>
      <c r="Z635" s="134"/>
      <c r="AA635" s="134"/>
      <c r="AB635" s="134"/>
      <c r="AC635" s="134"/>
      <c r="AD635" s="134"/>
    </row>
    <row r="636" ht="15.75" customHeight="1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134"/>
      <c r="Y636" s="134"/>
      <c r="Z636" s="134"/>
      <c r="AA636" s="134"/>
      <c r="AB636" s="134"/>
      <c r="AC636" s="134"/>
      <c r="AD636" s="134"/>
    </row>
    <row r="637" ht="15.75" customHeight="1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134"/>
      <c r="Y637" s="134"/>
      <c r="Z637" s="134"/>
      <c r="AA637" s="134"/>
      <c r="AB637" s="134"/>
      <c r="AC637" s="134"/>
      <c r="AD637" s="134"/>
    </row>
    <row r="638" ht="15.75" customHeight="1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134"/>
      <c r="Y638" s="134"/>
      <c r="Z638" s="134"/>
      <c r="AA638" s="134"/>
      <c r="AB638" s="134"/>
      <c r="AC638" s="134"/>
      <c r="AD638" s="134"/>
    </row>
    <row r="639" ht="15.75" customHeight="1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134"/>
      <c r="Y639" s="134"/>
      <c r="Z639" s="134"/>
      <c r="AA639" s="134"/>
      <c r="AB639" s="134"/>
      <c r="AC639" s="134"/>
      <c r="AD639" s="134"/>
    </row>
    <row r="640" ht="15.75" customHeight="1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134"/>
      <c r="Y640" s="134"/>
      <c r="Z640" s="134"/>
      <c r="AA640" s="134"/>
      <c r="AB640" s="134"/>
      <c r="AC640" s="134"/>
      <c r="AD640" s="134"/>
    </row>
    <row r="641" ht="15.75" customHeight="1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134"/>
      <c r="Y641" s="134"/>
      <c r="Z641" s="134"/>
      <c r="AA641" s="134"/>
      <c r="AB641" s="134"/>
      <c r="AC641" s="134"/>
      <c r="AD641" s="134"/>
    </row>
    <row r="642" ht="15.75" customHeight="1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134"/>
      <c r="Y642" s="134"/>
      <c r="Z642" s="134"/>
      <c r="AA642" s="134"/>
      <c r="AB642" s="134"/>
      <c r="AC642" s="134"/>
      <c r="AD642" s="134"/>
    </row>
    <row r="643" ht="15.75" customHeight="1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134"/>
      <c r="Y643" s="134"/>
      <c r="Z643" s="134"/>
      <c r="AA643" s="134"/>
      <c r="AB643" s="134"/>
      <c r="AC643" s="134"/>
      <c r="AD643" s="134"/>
    </row>
    <row r="644" ht="15.75" customHeight="1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134"/>
      <c r="Y644" s="134"/>
      <c r="Z644" s="134"/>
      <c r="AA644" s="134"/>
      <c r="AB644" s="134"/>
      <c r="AC644" s="134"/>
      <c r="AD644" s="134"/>
    </row>
    <row r="645" ht="15.75" customHeight="1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134"/>
      <c r="Y645" s="134"/>
      <c r="Z645" s="134"/>
      <c r="AA645" s="134"/>
      <c r="AB645" s="134"/>
      <c r="AC645" s="134"/>
      <c r="AD645" s="134"/>
    </row>
    <row r="646" ht="15.75" customHeight="1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134"/>
      <c r="Y646" s="134"/>
      <c r="Z646" s="134"/>
      <c r="AA646" s="134"/>
      <c r="AB646" s="134"/>
      <c r="AC646" s="134"/>
      <c r="AD646" s="134"/>
    </row>
    <row r="647" ht="15.75" customHeight="1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134"/>
      <c r="Y647" s="134"/>
      <c r="Z647" s="134"/>
      <c r="AA647" s="134"/>
      <c r="AB647" s="134"/>
      <c r="AC647" s="134"/>
      <c r="AD647" s="134"/>
    </row>
    <row r="648" ht="15.75" customHeight="1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134"/>
      <c r="Y648" s="134"/>
      <c r="Z648" s="134"/>
      <c r="AA648" s="134"/>
      <c r="AB648" s="134"/>
      <c r="AC648" s="134"/>
      <c r="AD648" s="134"/>
    </row>
    <row r="649" ht="15.75" customHeight="1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134"/>
      <c r="Y649" s="134"/>
      <c r="Z649" s="134"/>
      <c r="AA649" s="134"/>
      <c r="AB649" s="134"/>
      <c r="AC649" s="134"/>
      <c r="AD649" s="134"/>
    </row>
    <row r="650" ht="15.75" customHeight="1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134"/>
      <c r="Y650" s="134"/>
      <c r="Z650" s="134"/>
      <c r="AA650" s="134"/>
      <c r="AB650" s="134"/>
      <c r="AC650" s="134"/>
      <c r="AD650" s="134"/>
    </row>
    <row r="651" ht="15.75" customHeight="1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134"/>
      <c r="Y651" s="134"/>
      <c r="Z651" s="134"/>
      <c r="AA651" s="134"/>
      <c r="AB651" s="134"/>
      <c r="AC651" s="134"/>
      <c r="AD651" s="134"/>
    </row>
    <row r="652" ht="15.75" customHeight="1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134"/>
      <c r="Y652" s="134"/>
      <c r="Z652" s="134"/>
      <c r="AA652" s="134"/>
      <c r="AB652" s="134"/>
      <c r="AC652" s="134"/>
      <c r="AD652" s="134"/>
    </row>
    <row r="653" ht="15.75" customHeight="1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134"/>
      <c r="Y653" s="134"/>
      <c r="Z653" s="134"/>
      <c r="AA653" s="134"/>
      <c r="AB653" s="134"/>
      <c r="AC653" s="134"/>
      <c r="AD653" s="134"/>
    </row>
    <row r="654" ht="15.75" customHeight="1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134"/>
      <c r="Y654" s="134"/>
      <c r="Z654" s="134"/>
      <c r="AA654" s="134"/>
      <c r="AB654" s="134"/>
      <c r="AC654" s="134"/>
      <c r="AD654" s="134"/>
    </row>
    <row r="655" ht="15.75" customHeight="1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134"/>
      <c r="Y655" s="134"/>
      <c r="Z655" s="134"/>
      <c r="AA655" s="134"/>
      <c r="AB655" s="134"/>
      <c r="AC655" s="134"/>
      <c r="AD655" s="134"/>
    </row>
    <row r="656" ht="15.75" customHeight="1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134"/>
      <c r="Y656" s="134"/>
      <c r="Z656" s="134"/>
      <c r="AA656" s="134"/>
      <c r="AB656" s="134"/>
      <c r="AC656" s="134"/>
      <c r="AD656" s="134"/>
    </row>
    <row r="657" ht="15.75" customHeight="1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134"/>
      <c r="Y657" s="134"/>
      <c r="Z657" s="134"/>
      <c r="AA657" s="134"/>
      <c r="AB657" s="134"/>
      <c r="AC657" s="134"/>
      <c r="AD657" s="134"/>
    </row>
    <row r="658" ht="15.75" customHeight="1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134"/>
      <c r="Y658" s="134"/>
      <c r="Z658" s="134"/>
      <c r="AA658" s="134"/>
      <c r="AB658" s="134"/>
      <c r="AC658" s="134"/>
      <c r="AD658" s="134"/>
    </row>
    <row r="659" ht="15.75" customHeight="1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134"/>
      <c r="Y659" s="134"/>
      <c r="Z659" s="134"/>
      <c r="AA659" s="134"/>
      <c r="AB659" s="134"/>
      <c r="AC659" s="134"/>
      <c r="AD659" s="134"/>
    </row>
    <row r="660" ht="15.75" customHeight="1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134"/>
      <c r="Y660" s="134"/>
      <c r="Z660" s="134"/>
      <c r="AA660" s="134"/>
      <c r="AB660" s="134"/>
      <c r="AC660" s="134"/>
      <c r="AD660" s="134"/>
    </row>
    <row r="661" ht="15.75" customHeight="1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134"/>
      <c r="Y661" s="134"/>
      <c r="Z661" s="134"/>
      <c r="AA661" s="134"/>
      <c r="AB661" s="134"/>
      <c r="AC661" s="134"/>
      <c r="AD661" s="134"/>
    </row>
    <row r="662" ht="15.75" customHeight="1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134"/>
      <c r="Y662" s="134"/>
      <c r="Z662" s="134"/>
      <c r="AA662" s="134"/>
      <c r="AB662" s="134"/>
      <c r="AC662" s="134"/>
      <c r="AD662" s="134"/>
    </row>
    <row r="663" ht="15.75" customHeight="1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134"/>
      <c r="Y663" s="134"/>
      <c r="Z663" s="134"/>
      <c r="AA663" s="134"/>
      <c r="AB663" s="134"/>
      <c r="AC663" s="134"/>
      <c r="AD663" s="134"/>
    </row>
    <row r="664" ht="15.75" customHeight="1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134"/>
      <c r="Y664" s="134"/>
      <c r="Z664" s="134"/>
      <c r="AA664" s="134"/>
      <c r="AB664" s="134"/>
      <c r="AC664" s="134"/>
      <c r="AD664" s="134"/>
    </row>
    <row r="665" ht="15.75" customHeight="1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134"/>
      <c r="Y665" s="134"/>
      <c r="Z665" s="134"/>
      <c r="AA665" s="134"/>
      <c r="AB665" s="134"/>
      <c r="AC665" s="134"/>
      <c r="AD665" s="134"/>
    </row>
    <row r="666" ht="15.75" customHeight="1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134"/>
      <c r="Y666" s="134"/>
      <c r="Z666" s="134"/>
      <c r="AA666" s="134"/>
      <c r="AB666" s="134"/>
      <c r="AC666" s="134"/>
      <c r="AD666" s="134"/>
    </row>
    <row r="667" ht="15.75" customHeight="1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134"/>
      <c r="Y667" s="134"/>
      <c r="Z667" s="134"/>
      <c r="AA667" s="134"/>
      <c r="AB667" s="134"/>
      <c r="AC667" s="134"/>
      <c r="AD667" s="134"/>
    </row>
    <row r="668" ht="15.75" customHeight="1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134"/>
      <c r="Y668" s="134"/>
      <c r="Z668" s="134"/>
      <c r="AA668" s="134"/>
      <c r="AB668" s="134"/>
      <c r="AC668" s="134"/>
      <c r="AD668" s="134"/>
    </row>
    <row r="669" ht="15.75" customHeight="1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134"/>
      <c r="Y669" s="134"/>
      <c r="Z669" s="134"/>
      <c r="AA669" s="134"/>
      <c r="AB669" s="134"/>
      <c r="AC669" s="134"/>
      <c r="AD669" s="134"/>
    </row>
    <row r="670" ht="15.75" customHeight="1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134"/>
      <c r="Y670" s="134"/>
      <c r="Z670" s="134"/>
      <c r="AA670" s="134"/>
      <c r="AB670" s="134"/>
      <c r="AC670" s="134"/>
      <c r="AD670" s="134"/>
    </row>
    <row r="671" ht="15.75" customHeight="1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134"/>
      <c r="Y671" s="134"/>
      <c r="Z671" s="134"/>
      <c r="AA671" s="134"/>
      <c r="AB671" s="134"/>
      <c r="AC671" s="134"/>
      <c r="AD671" s="134"/>
    </row>
    <row r="672" ht="15.75" customHeight="1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134"/>
      <c r="Y672" s="134"/>
      <c r="Z672" s="134"/>
      <c r="AA672" s="134"/>
      <c r="AB672" s="134"/>
      <c r="AC672" s="134"/>
      <c r="AD672" s="134"/>
    </row>
    <row r="673" ht="15.75" customHeight="1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134"/>
      <c r="Y673" s="134"/>
      <c r="Z673" s="134"/>
      <c r="AA673" s="134"/>
      <c r="AB673" s="134"/>
      <c r="AC673" s="134"/>
      <c r="AD673" s="134"/>
    </row>
    <row r="674" ht="15.75" customHeight="1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134"/>
      <c r="Y674" s="134"/>
      <c r="Z674" s="134"/>
      <c r="AA674" s="134"/>
      <c r="AB674" s="134"/>
      <c r="AC674" s="134"/>
      <c r="AD674" s="134"/>
    </row>
    <row r="675" ht="15.75" customHeight="1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134"/>
      <c r="Y675" s="134"/>
      <c r="Z675" s="134"/>
      <c r="AA675" s="134"/>
      <c r="AB675" s="134"/>
      <c r="AC675" s="134"/>
      <c r="AD675" s="134"/>
    </row>
    <row r="676" ht="15.75" customHeight="1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134"/>
      <c r="Y676" s="134"/>
      <c r="Z676" s="134"/>
      <c r="AA676" s="134"/>
      <c r="AB676" s="134"/>
      <c r="AC676" s="134"/>
      <c r="AD676" s="134"/>
    </row>
    <row r="677" ht="15.75" customHeight="1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134"/>
      <c r="Y677" s="134"/>
      <c r="Z677" s="134"/>
      <c r="AA677" s="134"/>
      <c r="AB677" s="134"/>
      <c r="AC677" s="134"/>
      <c r="AD677" s="134"/>
    </row>
    <row r="678" ht="15.75" customHeight="1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134"/>
      <c r="Y678" s="134"/>
      <c r="Z678" s="134"/>
      <c r="AA678" s="134"/>
      <c r="AB678" s="134"/>
      <c r="AC678" s="134"/>
      <c r="AD678" s="134"/>
    </row>
    <row r="679" ht="15.75" customHeight="1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134"/>
      <c r="Y679" s="134"/>
      <c r="Z679" s="134"/>
      <c r="AA679" s="134"/>
      <c r="AB679" s="134"/>
      <c r="AC679" s="134"/>
      <c r="AD679" s="134"/>
    </row>
    <row r="680" ht="15.75" customHeight="1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134"/>
      <c r="Y680" s="134"/>
      <c r="Z680" s="134"/>
      <c r="AA680" s="134"/>
      <c r="AB680" s="134"/>
      <c r="AC680" s="134"/>
      <c r="AD680" s="134"/>
    </row>
    <row r="681" ht="15.75" customHeight="1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134"/>
      <c r="Y681" s="134"/>
      <c r="Z681" s="134"/>
      <c r="AA681" s="134"/>
      <c r="AB681" s="134"/>
      <c r="AC681" s="134"/>
      <c r="AD681" s="134"/>
    </row>
    <row r="682" ht="15.75" customHeight="1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134"/>
      <c r="Y682" s="134"/>
      <c r="Z682" s="134"/>
      <c r="AA682" s="134"/>
      <c r="AB682" s="134"/>
      <c r="AC682" s="134"/>
      <c r="AD682" s="134"/>
    </row>
    <row r="683" ht="15.75" customHeight="1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134"/>
      <c r="Y683" s="134"/>
      <c r="Z683" s="134"/>
      <c r="AA683" s="134"/>
      <c r="AB683" s="134"/>
      <c r="AC683" s="134"/>
      <c r="AD683" s="134"/>
    </row>
    <row r="684" ht="15.75" customHeight="1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134"/>
      <c r="Y684" s="134"/>
      <c r="Z684" s="134"/>
      <c r="AA684" s="134"/>
      <c r="AB684" s="134"/>
      <c r="AC684" s="134"/>
      <c r="AD684" s="134"/>
    </row>
    <row r="685" ht="15.75" customHeight="1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134"/>
      <c r="Y685" s="134"/>
      <c r="Z685" s="134"/>
      <c r="AA685" s="134"/>
      <c r="AB685" s="134"/>
      <c r="AC685" s="134"/>
      <c r="AD685" s="134"/>
    </row>
    <row r="686" ht="15.75" customHeight="1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134"/>
      <c r="Y686" s="134"/>
      <c r="Z686" s="134"/>
      <c r="AA686" s="134"/>
      <c r="AB686" s="134"/>
      <c r="AC686" s="134"/>
      <c r="AD686" s="134"/>
    </row>
    <row r="687" ht="15.75" customHeight="1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134"/>
      <c r="Y687" s="134"/>
      <c r="Z687" s="134"/>
      <c r="AA687" s="134"/>
      <c r="AB687" s="134"/>
      <c r="AC687" s="134"/>
      <c r="AD687" s="134"/>
    </row>
    <row r="688" ht="15.75" customHeight="1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134"/>
      <c r="Y688" s="134"/>
      <c r="Z688" s="134"/>
      <c r="AA688" s="134"/>
      <c r="AB688" s="134"/>
      <c r="AC688" s="134"/>
      <c r="AD688" s="134"/>
    </row>
    <row r="689" ht="15.75" customHeight="1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134"/>
      <c r="Y689" s="134"/>
      <c r="Z689" s="134"/>
      <c r="AA689" s="134"/>
      <c r="AB689" s="134"/>
      <c r="AC689" s="134"/>
      <c r="AD689" s="134"/>
    </row>
    <row r="690" ht="15.75" customHeight="1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134"/>
      <c r="Y690" s="134"/>
      <c r="Z690" s="134"/>
      <c r="AA690" s="134"/>
      <c r="AB690" s="134"/>
      <c r="AC690" s="134"/>
      <c r="AD690" s="134"/>
    </row>
    <row r="691" ht="15.75" customHeight="1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134"/>
      <c r="Y691" s="134"/>
      <c r="Z691" s="134"/>
      <c r="AA691" s="134"/>
      <c r="AB691" s="134"/>
      <c r="AC691" s="134"/>
      <c r="AD691" s="134"/>
    </row>
    <row r="692" ht="15.75" customHeight="1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134"/>
      <c r="Y692" s="134"/>
      <c r="Z692" s="134"/>
      <c r="AA692" s="134"/>
      <c r="AB692" s="134"/>
      <c r="AC692" s="134"/>
      <c r="AD692" s="134"/>
    </row>
    <row r="693" ht="15.75" customHeight="1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134"/>
      <c r="Y693" s="134"/>
      <c r="Z693" s="134"/>
      <c r="AA693" s="134"/>
      <c r="AB693" s="134"/>
      <c r="AC693" s="134"/>
      <c r="AD693" s="134"/>
    </row>
    <row r="694" ht="15.75" customHeight="1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134"/>
      <c r="Y694" s="134"/>
      <c r="Z694" s="134"/>
      <c r="AA694" s="134"/>
      <c r="AB694" s="134"/>
      <c r="AC694" s="134"/>
      <c r="AD694" s="134"/>
    </row>
    <row r="695" ht="15.75" customHeight="1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134"/>
      <c r="Y695" s="134"/>
      <c r="Z695" s="134"/>
      <c r="AA695" s="134"/>
      <c r="AB695" s="134"/>
      <c r="AC695" s="134"/>
      <c r="AD695" s="134"/>
    </row>
    <row r="696" ht="15.75" customHeight="1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134"/>
      <c r="Y696" s="134"/>
      <c r="Z696" s="134"/>
      <c r="AA696" s="134"/>
      <c r="AB696" s="134"/>
      <c r="AC696" s="134"/>
      <c r="AD696" s="134"/>
    </row>
    <row r="697" ht="15.75" customHeight="1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134"/>
      <c r="Y697" s="134"/>
      <c r="Z697" s="134"/>
      <c r="AA697" s="134"/>
      <c r="AB697" s="134"/>
      <c r="AC697" s="134"/>
      <c r="AD697" s="134"/>
    </row>
    <row r="698" ht="15.75" customHeight="1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134"/>
      <c r="Y698" s="134"/>
      <c r="Z698" s="134"/>
      <c r="AA698" s="134"/>
      <c r="AB698" s="134"/>
      <c r="AC698" s="134"/>
      <c r="AD698" s="134"/>
    </row>
    <row r="699" ht="15.75" customHeight="1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134"/>
      <c r="Y699" s="134"/>
      <c r="Z699" s="134"/>
      <c r="AA699" s="134"/>
      <c r="AB699" s="134"/>
      <c r="AC699" s="134"/>
      <c r="AD699" s="134"/>
    </row>
    <row r="700" ht="15.75" customHeight="1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134"/>
      <c r="Y700" s="134"/>
      <c r="Z700" s="134"/>
      <c r="AA700" s="134"/>
      <c r="AB700" s="134"/>
      <c r="AC700" s="134"/>
      <c r="AD700" s="134"/>
    </row>
    <row r="701" ht="15.75" customHeight="1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134"/>
      <c r="Y701" s="134"/>
      <c r="Z701" s="134"/>
      <c r="AA701" s="134"/>
      <c r="AB701" s="134"/>
      <c r="AC701" s="134"/>
      <c r="AD701" s="134"/>
    </row>
    <row r="702" ht="15.75" customHeight="1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134"/>
      <c r="Y702" s="134"/>
      <c r="Z702" s="134"/>
      <c r="AA702" s="134"/>
      <c r="AB702" s="134"/>
      <c r="AC702" s="134"/>
      <c r="AD702" s="134"/>
    </row>
    <row r="703" ht="15.75" customHeight="1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134"/>
      <c r="Y703" s="134"/>
      <c r="Z703" s="134"/>
      <c r="AA703" s="134"/>
      <c r="AB703" s="134"/>
      <c r="AC703" s="134"/>
      <c r="AD703" s="134"/>
    </row>
    <row r="704" ht="15.75" customHeight="1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134"/>
      <c r="Y704" s="134"/>
      <c r="Z704" s="134"/>
      <c r="AA704" s="134"/>
      <c r="AB704" s="134"/>
      <c r="AC704" s="134"/>
      <c r="AD704" s="134"/>
    </row>
    <row r="705" ht="15.75" customHeight="1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134"/>
      <c r="Y705" s="134"/>
      <c r="Z705" s="134"/>
      <c r="AA705" s="134"/>
      <c r="AB705" s="134"/>
      <c r="AC705" s="134"/>
      <c r="AD705" s="134"/>
    </row>
    <row r="706" ht="15.75" customHeight="1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134"/>
      <c r="Y706" s="134"/>
      <c r="Z706" s="134"/>
      <c r="AA706" s="134"/>
      <c r="AB706" s="134"/>
      <c r="AC706" s="134"/>
      <c r="AD706" s="134"/>
    </row>
    <row r="707" ht="15.75" customHeight="1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134"/>
      <c r="Y707" s="134"/>
      <c r="Z707" s="134"/>
      <c r="AA707" s="134"/>
      <c r="AB707" s="134"/>
      <c r="AC707" s="134"/>
      <c r="AD707" s="134"/>
    </row>
    <row r="708" ht="15.75" customHeight="1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134"/>
      <c r="Y708" s="134"/>
      <c r="Z708" s="134"/>
      <c r="AA708" s="134"/>
      <c r="AB708" s="134"/>
      <c r="AC708" s="134"/>
      <c r="AD708" s="134"/>
    </row>
    <row r="709" ht="15.75" customHeight="1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134"/>
      <c r="Y709" s="134"/>
      <c r="Z709" s="134"/>
      <c r="AA709" s="134"/>
      <c r="AB709" s="134"/>
      <c r="AC709" s="134"/>
      <c r="AD709" s="134"/>
    </row>
    <row r="710" ht="15.75" customHeight="1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134"/>
      <c r="Y710" s="134"/>
      <c r="Z710" s="134"/>
      <c r="AA710" s="134"/>
      <c r="AB710" s="134"/>
      <c r="AC710" s="134"/>
      <c r="AD710" s="134"/>
    </row>
    <row r="711" ht="15.75" customHeight="1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134"/>
      <c r="Y711" s="134"/>
      <c r="Z711" s="134"/>
      <c r="AA711" s="134"/>
      <c r="AB711" s="134"/>
      <c r="AC711" s="134"/>
      <c r="AD711" s="134"/>
    </row>
    <row r="712" ht="15.75" customHeight="1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134"/>
      <c r="Y712" s="134"/>
      <c r="Z712" s="134"/>
      <c r="AA712" s="134"/>
      <c r="AB712" s="134"/>
      <c r="AC712" s="134"/>
      <c r="AD712" s="134"/>
    </row>
    <row r="713" ht="15.75" customHeight="1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134"/>
      <c r="Y713" s="134"/>
      <c r="Z713" s="134"/>
      <c r="AA713" s="134"/>
      <c r="AB713" s="134"/>
      <c r="AC713" s="134"/>
      <c r="AD713" s="134"/>
    </row>
    <row r="714" ht="15.75" customHeight="1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134"/>
      <c r="Y714" s="134"/>
      <c r="Z714" s="134"/>
      <c r="AA714" s="134"/>
      <c r="AB714" s="134"/>
      <c r="AC714" s="134"/>
      <c r="AD714" s="134"/>
    </row>
    <row r="715" ht="15.75" customHeight="1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134"/>
      <c r="Y715" s="134"/>
      <c r="Z715" s="134"/>
      <c r="AA715" s="134"/>
      <c r="AB715" s="134"/>
      <c r="AC715" s="134"/>
      <c r="AD715" s="134"/>
    </row>
    <row r="716" ht="15.75" customHeight="1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134"/>
      <c r="Y716" s="134"/>
      <c r="Z716" s="134"/>
      <c r="AA716" s="134"/>
      <c r="AB716" s="134"/>
      <c r="AC716" s="134"/>
      <c r="AD716" s="134"/>
    </row>
    <row r="717" ht="15.75" customHeight="1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134"/>
      <c r="Y717" s="134"/>
      <c r="Z717" s="134"/>
      <c r="AA717" s="134"/>
      <c r="AB717" s="134"/>
      <c r="AC717" s="134"/>
      <c r="AD717" s="134"/>
    </row>
    <row r="718" ht="15.75" customHeight="1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134"/>
      <c r="Y718" s="134"/>
      <c r="Z718" s="134"/>
      <c r="AA718" s="134"/>
      <c r="AB718" s="134"/>
      <c r="AC718" s="134"/>
      <c r="AD718" s="134"/>
    </row>
    <row r="719" ht="15.75" customHeight="1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134"/>
      <c r="Y719" s="134"/>
      <c r="Z719" s="134"/>
      <c r="AA719" s="134"/>
      <c r="AB719" s="134"/>
      <c r="AC719" s="134"/>
      <c r="AD719" s="134"/>
    </row>
    <row r="720" ht="15.75" customHeight="1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134"/>
      <c r="Y720" s="134"/>
      <c r="Z720" s="134"/>
      <c r="AA720" s="134"/>
      <c r="AB720" s="134"/>
      <c r="AC720" s="134"/>
      <c r="AD720" s="134"/>
    </row>
    <row r="721" ht="15.75" customHeight="1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134"/>
      <c r="Y721" s="134"/>
      <c r="Z721" s="134"/>
      <c r="AA721" s="134"/>
      <c r="AB721" s="134"/>
      <c r="AC721" s="134"/>
      <c r="AD721" s="134"/>
    </row>
    <row r="722" ht="15.75" customHeight="1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134"/>
      <c r="Y722" s="134"/>
      <c r="Z722" s="134"/>
      <c r="AA722" s="134"/>
      <c r="AB722" s="134"/>
      <c r="AC722" s="134"/>
      <c r="AD722" s="134"/>
    </row>
    <row r="723" ht="15.75" customHeight="1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134"/>
      <c r="Y723" s="134"/>
      <c r="Z723" s="134"/>
      <c r="AA723" s="134"/>
      <c r="AB723" s="134"/>
      <c r="AC723" s="134"/>
      <c r="AD723" s="134"/>
    </row>
    <row r="724" ht="15.75" customHeight="1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134"/>
      <c r="Y724" s="134"/>
      <c r="Z724" s="134"/>
      <c r="AA724" s="134"/>
      <c r="AB724" s="134"/>
      <c r="AC724" s="134"/>
      <c r="AD724" s="134"/>
    </row>
    <row r="725" ht="15.75" customHeight="1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134"/>
      <c r="Y725" s="134"/>
      <c r="Z725" s="134"/>
      <c r="AA725" s="134"/>
      <c r="AB725" s="134"/>
      <c r="AC725" s="134"/>
      <c r="AD725" s="134"/>
    </row>
    <row r="726" ht="15.75" customHeight="1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134"/>
      <c r="Y726" s="134"/>
      <c r="Z726" s="134"/>
      <c r="AA726" s="134"/>
      <c r="AB726" s="134"/>
      <c r="AC726" s="134"/>
      <c r="AD726" s="134"/>
    </row>
    <row r="727" ht="15.75" customHeight="1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134"/>
      <c r="Y727" s="134"/>
      <c r="Z727" s="134"/>
      <c r="AA727" s="134"/>
      <c r="AB727" s="134"/>
      <c r="AC727" s="134"/>
      <c r="AD727" s="134"/>
    </row>
    <row r="728" ht="15.75" customHeight="1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134"/>
      <c r="Y728" s="134"/>
      <c r="Z728" s="134"/>
      <c r="AA728" s="134"/>
      <c r="AB728" s="134"/>
      <c r="AC728" s="134"/>
      <c r="AD728" s="134"/>
    </row>
    <row r="729" ht="15.75" customHeight="1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134"/>
      <c r="Y729" s="134"/>
      <c r="Z729" s="134"/>
      <c r="AA729" s="134"/>
      <c r="AB729" s="134"/>
      <c r="AC729" s="134"/>
      <c r="AD729" s="134"/>
    </row>
    <row r="730" ht="15.75" customHeight="1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134"/>
      <c r="Y730" s="134"/>
      <c r="Z730" s="134"/>
      <c r="AA730" s="134"/>
      <c r="AB730" s="134"/>
      <c r="AC730" s="134"/>
      <c r="AD730" s="134"/>
    </row>
    <row r="731" ht="15.75" customHeight="1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134"/>
      <c r="Y731" s="134"/>
      <c r="Z731" s="134"/>
      <c r="AA731" s="134"/>
      <c r="AB731" s="134"/>
      <c r="AC731" s="134"/>
      <c r="AD731" s="134"/>
    </row>
    <row r="732" ht="15.75" customHeight="1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134"/>
      <c r="Y732" s="134"/>
      <c r="Z732" s="134"/>
      <c r="AA732" s="134"/>
      <c r="AB732" s="134"/>
      <c r="AC732" s="134"/>
      <c r="AD732" s="134"/>
    </row>
    <row r="733" ht="15.75" customHeight="1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134"/>
      <c r="Y733" s="134"/>
      <c r="Z733" s="134"/>
      <c r="AA733" s="134"/>
      <c r="AB733" s="134"/>
      <c r="AC733" s="134"/>
      <c r="AD733" s="134"/>
    </row>
    <row r="734" ht="15.75" customHeight="1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134"/>
      <c r="Y734" s="134"/>
      <c r="Z734" s="134"/>
      <c r="AA734" s="134"/>
      <c r="AB734" s="134"/>
      <c r="AC734" s="134"/>
      <c r="AD734" s="134"/>
    </row>
    <row r="735" ht="15.75" customHeight="1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134"/>
      <c r="Y735" s="134"/>
      <c r="Z735" s="134"/>
      <c r="AA735" s="134"/>
      <c r="AB735" s="134"/>
      <c r="AC735" s="134"/>
      <c r="AD735" s="134"/>
    </row>
    <row r="736" ht="15.75" customHeight="1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134"/>
      <c r="Y736" s="134"/>
      <c r="Z736" s="134"/>
      <c r="AA736" s="134"/>
      <c r="AB736" s="134"/>
      <c r="AC736" s="134"/>
      <c r="AD736" s="134"/>
    </row>
    <row r="737" ht="15.75" customHeight="1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134"/>
      <c r="Y737" s="134"/>
      <c r="Z737" s="134"/>
      <c r="AA737" s="134"/>
      <c r="AB737" s="134"/>
      <c r="AC737" s="134"/>
      <c r="AD737" s="134"/>
    </row>
    <row r="738" ht="15.75" customHeight="1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134"/>
      <c r="Y738" s="134"/>
      <c r="Z738" s="134"/>
      <c r="AA738" s="134"/>
      <c r="AB738" s="134"/>
      <c r="AC738" s="134"/>
      <c r="AD738" s="134"/>
    </row>
    <row r="739" ht="15.75" customHeight="1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134"/>
      <c r="Y739" s="134"/>
      <c r="Z739" s="134"/>
      <c r="AA739" s="134"/>
      <c r="AB739" s="134"/>
      <c r="AC739" s="134"/>
      <c r="AD739" s="134"/>
    </row>
    <row r="740" ht="15.75" customHeight="1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134"/>
      <c r="Y740" s="134"/>
      <c r="Z740" s="134"/>
      <c r="AA740" s="134"/>
      <c r="AB740" s="134"/>
      <c r="AC740" s="134"/>
      <c r="AD740" s="134"/>
    </row>
    <row r="741" ht="15.75" customHeight="1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134"/>
      <c r="Y741" s="134"/>
      <c r="Z741" s="134"/>
      <c r="AA741" s="134"/>
      <c r="AB741" s="134"/>
      <c r="AC741" s="134"/>
      <c r="AD741" s="134"/>
    </row>
    <row r="742" ht="15.75" customHeight="1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134"/>
      <c r="Y742" s="134"/>
      <c r="Z742" s="134"/>
      <c r="AA742" s="134"/>
      <c r="AB742" s="134"/>
      <c r="AC742" s="134"/>
      <c r="AD742" s="134"/>
    </row>
    <row r="743" ht="15.75" customHeight="1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134"/>
      <c r="Y743" s="134"/>
      <c r="Z743" s="134"/>
      <c r="AA743" s="134"/>
      <c r="AB743" s="134"/>
      <c r="AC743" s="134"/>
      <c r="AD743" s="134"/>
    </row>
    <row r="744" ht="15.75" customHeight="1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134"/>
      <c r="Y744" s="134"/>
      <c r="Z744" s="134"/>
      <c r="AA744" s="134"/>
      <c r="AB744" s="134"/>
      <c r="AC744" s="134"/>
      <c r="AD744" s="134"/>
    </row>
    <row r="745" ht="15.75" customHeight="1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134"/>
      <c r="Y745" s="134"/>
      <c r="Z745" s="134"/>
      <c r="AA745" s="134"/>
      <c r="AB745" s="134"/>
      <c r="AC745" s="134"/>
      <c r="AD745" s="134"/>
    </row>
    <row r="746" ht="15.75" customHeight="1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134"/>
      <c r="Y746" s="134"/>
      <c r="Z746" s="134"/>
      <c r="AA746" s="134"/>
      <c r="AB746" s="134"/>
      <c r="AC746" s="134"/>
      <c r="AD746" s="134"/>
    </row>
    <row r="747" ht="15.75" customHeight="1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134"/>
      <c r="Y747" s="134"/>
      <c r="Z747" s="134"/>
      <c r="AA747" s="134"/>
      <c r="AB747" s="134"/>
      <c r="AC747" s="134"/>
      <c r="AD747" s="134"/>
    </row>
    <row r="748" ht="15.75" customHeight="1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134"/>
      <c r="Y748" s="134"/>
      <c r="Z748" s="134"/>
      <c r="AA748" s="134"/>
      <c r="AB748" s="134"/>
      <c r="AC748" s="134"/>
      <c r="AD748" s="134"/>
    </row>
    <row r="749" ht="15.75" customHeight="1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134"/>
      <c r="Y749" s="134"/>
      <c r="Z749" s="134"/>
      <c r="AA749" s="134"/>
      <c r="AB749" s="134"/>
      <c r="AC749" s="134"/>
      <c r="AD749" s="134"/>
    </row>
    <row r="750" ht="15.75" customHeight="1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134"/>
      <c r="Y750" s="134"/>
      <c r="Z750" s="134"/>
      <c r="AA750" s="134"/>
      <c r="AB750" s="134"/>
      <c r="AC750" s="134"/>
      <c r="AD750" s="134"/>
    </row>
    <row r="751" ht="15.75" customHeight="1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134"/>
      <c r="Y751" s="134"/>
      <c r="Z751" s="134"/>
      <c r="AA751" s="134"/>
      <c r="AB751" s="134"/>
      <c r="AC751" s="134"/>
      <c r="AD751" s="134"/>
    </row>
    <row r="752" ht="15.75" customHeight="1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134"/>
      <c r="Y752" s="134"/>
      <c r="Z752" s="134"/>
      <c r="AA752" s="134"/>
      <c r="AB752" s="134"/>
      <c r="AC752" s="134"/>
      <c r="AD752" s="134"/>
    </row>
    <row r="753" ht="15.75" customHeight="1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134"/>
      <c r="Y753" s="134"/>
      <c r="Z753" s="134"/>
      <c r="AA753" s="134"/>
      <c r="AB753" s="134"/>
      <c r="AC753" s="134"/>
      <c r="AD753" s="134"/>
    </row>
    <row r="754" ht="15.75" customHeight="1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134"/>
      <c r="Y754" s="134"/>
      <c r="Z754" s="134"/>
      <c r="AA754" s="134"/>
      <c r="AB754" s="134"/>
      <c r="AC754" s="134"/>
      <c r="AD754" s="134"/>
    </row>
    <row r="755" ht="15.75" customHeight="1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134"/>
      <c r="Y755" s="134"/>
      <c r="Z755" s="134"/>
      <c r="AA755" s="134"/>
      <c r="AB755" s="134"/>
      <c r="AC755" s="134"/>
      <c r="AD755" s="134"/>
    </row>
    <row r="756" ht="15.75" customHeight="1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134"/>
      <c r="Y756" s="134"/>
      <c r="Z756" s="134"/>
      <c r="AA756" s="134"/>
      <c r="AB756" s="134"/>
      <c r="AC756" s="134"/>
      <c r="AD756" s="134"/>
    </row>
    <row r="757" ht="15.75" customHeight="1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134"/>
      <c r="Y757" s="134"/>
      <c r="Z757" s="134"/>
      <c r="AA757" s="134"/>
      <c r="AB757" s="134"/>
      <c r="AC757" s="134"/>
      <c r="AD757" s="134"/>
    </row>
    <row r="758" ht="15.75" customHeight="1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134"/>
      <c r="Y758" s="134"/>
      <c r="Z758" s="134"/>
      <c r="AA758" s="134"/>
      <c r="AB758" s="134"/>
      <c r="AC758" s="134"/>
      <c r="AD758" s="134"/>
    </row>
    <row r="759" ht="15.75" customHeight="1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134"/>
      <c r="Y759" s="134"/>
      <c r="Z759" s="134"/>
      <c r="AA759" s="134"/>
      <c r="AB759" s="134"/>
      <c r="AC759" s="134"/>
      <c r="AD759" s="134"/>
    </row>
    <row r="760" ht="15.75" customHeight="1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134"/>
      <c r="Y760" s="134"/>
      <c r="Z760" s="134"/>
      <c r="AA760" s="134"/>
      <c r="AB760" s="134"/>
      <c r="AC760" s="134"/>
      <c r="AD760" s="134"/>
    </row>
    <row r="761" ht="15.75" customHeight="1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134"/>
      <c r="Y761" s="134"/>
      <c r="Z761" s="134"/>
      <c r="AA761" s="134"/>
      <c r="AB761" s="134"/>
      <c r="AC761" s="134"/>
      <c r="AD761" s="134"/>
    </row>
    <row r="762" ht="15.75" customHeight="1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134"/>
      <c r="Y762" s="134"/>
      <c r="Z762" s="134"/>
      <c r="AA762" s="134"/>
      <c r="AB762" s="134"/>
      <c r="AC762" s="134"/>
      <c r="AD762" s="134"/>
    </row>
    <row r="763" ht="15.75" customHeight="1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134"/>
      <c r="Y763" s="134"/>
      <c r="Z763" s="134"/>
      <c r="AA763" s="134"/>
      <c r="AB763" s="134"/>
      <c r="AC763" s="134"/>
      <c r="AD763" s="134"/>
    </row>
    <row r="764" ht="15.75" customHeight="1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134"/>
      <c r="Y764" s="134"/>
      <c r="Z764" s="134"/>
      <c r="AA764" s="134"/>
      <c r="AB764" s="134"/>
      <c r="AC764" s="134"/>
      <c r="AD764" s="134"/>
    </row>
    <row r="765" ht="15.75" customHeight="1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134"/>
      <c r="Y765" s="134"/>
      <c r="Z765" s="134"/>
      <c r="AA765" s="134"/>
      <c r="AB765" s="134"/>
      <c r="AC765" s="134"/>
      <c r="AD765" s="134"/>
    </row>
    <row r="766" ht="15.75" customHeight="1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134"/>
      <c r="Y766" s="134"/>
      <c r="Z766" s="134"/>
      <c r="AA766" s="134"/>
      <c r="AB766" s="134"/>
      <c r="AC766" s="134"/>
      <c r="AD766" s="134"/>
    </row>
    <row r="767" ht="15.75" customHeight="1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134"/>
      <c r="Y767" s="134"/>
      <c r="Z767" s="134"/>
      <c r="AA767" s="134"/>
      <c r="AB767" s="134"/>
      <c r="AC767" s="134"/>
      <c r="AD767" s="134"/>
    </row>
    <row r="768" ht="15.75" customHeight="1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134"/>
      <c r="Y768" s="134"/>
      <c r="Z768" s="134"/>
      <c r="AA768" s="134"/>
      <c r="AB768" s="134"/>
      <c r="AC768" s="134"/>
      <c r="AD768" s="134"/>
    </row>
    <row r="769" ht="15.75" customHeight="1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134"/>
      <c r="Y769" s="134"/>
      <c r="Z769" s="134"/>
      <c r="AA769" s="134"/>
      <c r="AB769" s="134"/>
      <c r="AC769" s="134"/>
      <c r="AD769" s="134"/>
    </row>
    <row r="770" ht="15.75" customHeight="1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134"/>
      <c r="Y770" s="134"/>
      <c r="Z770" s="134"/>
      <c r="AA770" s="134"/>
      <c r="AB770" s="134"/>
      <c r="AC770" s="134"/>
      <c r="AD770" s="134"/>
    </row>
    <row r="771" ht="15.75" customHeight="1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134"/>
      <c r="Y771" s="134"/>
      <c r="Z771" s="134"/>
      <c r="AA771" s="134"/>
      <c r="AB771" s="134"/>
      <c r="AC771" s="134"/>
      <c r="AD771" s="134"/>
    </row>
    <row r="772" ht="15.75" customHeight="1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134"/>
      <c r="Y772" s="134"/>
      <c r="Z772" s="134"/>
      <c r="AA772" s="134"/>
      <c r="AB772" s="134"/>
      <c r="AC772" s="134"/>
      <c r="AD772" s="134"/>
    </row>
    <row r="773" ht="15.75" customHeight="1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134"/>
      <c r="Y773" s="134"/>
      <c r="Z773" s="134"/>
      <c r="AA773" s="134"/>
      <c r="AB773" s="134"/>
      <c r="AC773" s="134"/>
      <c r="AD773" s="134"/>
    </row>
    <row r="774" ht="15.75" customHeight="1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134"/>
      <c r="Y774" s="134"/>
      <c r="Z774" s="134"/>
      <c r="AA774" s="134"/>
      <c r="AB774" s="134"/>
      <c r="AC774" s="134"/>
      <c r="AD774" s="134"/>
    </row>
    <row r="775" ht="15.75" customHeight="1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134"/>
      <c r="Y775" s="134"/>
      <c r="Z775" s="134"/>
      <c r="AA775" s="134"/>
      <c r="AB775" s="134"/>
      <c r="AC775" s="134"/>
      <c r="AD775" s="134"/>
    </row>
    <row r="776" ht="15.75" customHeight="1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134"/>
      <c r="Y776" s="134"/>
      <c r="Z776" s="134"/>
      <c r="AA776" s="134"/>
      <c r="AB776" s="134"/>
      <c r="AC776" s="134"/>
      <c r="AD776" s="134"/>
    </row>
    <row r="777" ht="15.75" customHeight="1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134"/>
      <c r="Y777" s="134"/>
      <c r="Z777" s="134"/>
      <c r="AA777" s="134"/>
      <c r="AB777" s="134"/>
      <c r="AC777" s="134"/>
      <c r="AD777" s="134"/>
    </row>
    <row r="778" ht="15.75" customHeight="1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134"/>
      <c r="Y778" s="134"/>
      <c r="Z778" s="134"/>
      <c r="AA778" s="134"/>
      <c r="AB778" s="134"/>
      <c r="AC778" s="134"/>
      <c r="AD778" s="134"/>
    </row>
    <row r="779" ht="15.75" customHeight="1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134"/>
      <c r="Y779" s="134"/>
      <c r="Z779" s="134"/>
      <c r="AA779" s="134"/>
      <c r="AB779" s="134"/>
      <c r="AC779" s="134"/>
      <c r="AD779" s="134"/>
    </row>
    <row r="780" ht="15.75" customHeight="1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134"/>
      <c r="Y780" s="134"/>
      <c r="Z780" s="134"/>
      <c r="AA780" s="134"/>
      <c r="AB780" s="134"/>
      <c r="AC780" s="134"/>
      <c r="AD780" s="134"/>
    </row>
    <row r="781" ht="15.75" customHeight="1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134"/>
      <c r="Y781" s="134"/>
      <c r="Z781" s="134"/>
      <c r="AA781" s="134"/>
      <c r="AB781" s="134"/>
      <c r="AC781" s="134"/>
      <c r="AD781" s="134"/>
    </row>
    <row r="782" ht="15.75" customHeight="1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134"/>
      <c r="Y782" s="134"/>
      <c r="Z782" s="134"/>
      <c r="AA782" s="134"/>
      <c r="AB782" s="134"/>
      <c r="AC782" s="134"/>
      <c r="AD782" s="134"/>
    </row>
    <row r="783" ht="15.75" customHeight="1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134"/>
      <c r="Y783" s="134"/>
      <c r="Z783" s="134"/>
      <c r="AA783" s="134"/>
      <c r="AB783" s="134"/>
      <c r="AC783" s="134"/>
      <c r="AD783" s="134"/>
    </row>
    <row r="784" ht="15.75" customHeight="1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134"/>
      <c r="Y784" s="134"/>
      <c r="Z784" s="134"/>
      <c r="AA784" s="134"/>
      <c r="AB784" s="134"/>
      <c r="AC784" s="134"/>
      <c r="AD784" s="134"/>
    </row>
    <row r="785" ht="15.75" customHeight="1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134"/>
      <c r="Y785" s="134"/>
      <c r="Z785" s="134"/>
      <c r="AA785" s="134"/>
      <c r="AB785" s="134"/>
      <c r="AC785" s="134"/>
      <c r="AD785" s="134"/>
    </row>
    <row r="786" ht="15.75" customHeight="1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134"/>
      <c r="Y786" s="134"/>
      <c r="Z786" s="134"/>
      <c r="AA786" s="134"/>
      <c r="AB786" s="134"/>
      <c r="AC786" s="134"/>
      <c r="AD786" s="134"/>
    </row>
    <row r="787" ht="15.75" customHeight="1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134"/>
      <c r="Y787" s="134"/>
      <c r="Z787" s="134"/>
      <c r="AA787" s="134"/>
      <c r="AB787" s="134"/>
      <c r="AC787" s="134"/>
      <c r="AD787" s="134"/>
    </row>
    <row r="788" ht="15.75" customHeight="1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134"/>
      <c r="Y788" s="134"/>
      <c r="Z788" s="134"/>
      <c r="AA788" s="134"/>
      <c r="AB788" s="134"/>
      <c r="AC788" s="134"/>
      <c r="AD788" s="134"/>
    </row>
    <row r="789" ht="15.75" customHeight="1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134"/>
      <c r="Y789" s="134"/>
      <c r="Z789" s="134"/>
      <c r="AA789" s="134"/>
      <c r="AB789" s="134"/>
      <c r="AC789" s="134"/>
      <c r="AD789" s="134"/>
    </row>
    <row r="790" ht="15.75" customHeight="1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134"/>
      <c r="Y790" s="134"/>
      <c r="Z790" s="134"/>
      <c r="AA790" s="134"/>
      <c r="AB790" s="134"/>
      <c r="AC790" s="134"/>
      <c r="AD790" s="134"/>
    </row>
    <row r="791" ht="15.75" customHeight="1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134"/>
      <c r="Y791" s="134"/>
      <c r="Z791" s="134"/>
      <c r="AA791" s="134"/>
      <c r="AB791" s="134"/>
      <c r="AC791" s="134"/>
      <c r="AD791" s="134"/>
    </row>
    <row r="792" ht="15.75" customHeight="1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134"/>
      <c r="Y792" s="134"/>
      <c r="Z792" s="134"/>
      <c r="AA792" s="134"/>
      <c r="AB792" s="134"/>
      <c r="AC792" s="134"/>
      <c r="AD792" s="134"/>
    </row>
    <row r="793" ht="15.75" customHeight="1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134"/>
      <c r="Y793" s="134"/>
      <c r="Z793" s="134"/>
      <c r="AA793" s="134"/>
      <c r="AB793" s="134"/>
      <c r="AC793" s="134"/>
      <c r="AD793" s="134"/>
    </row>
    <row r="794" ht="15.75" customHeight="1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134"/>
      <c r="Y794" s="134"/>
      <c r="Z794" s="134"/>
      <c r="AA794" s="134"/>
      <c r="AB794" s="134"/>
      <c r="AC794" s="134"/>
      <c r="AD794" s="134"/>
    </row>
    <row r="795" ht="15.75" customHeight="1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134"/>
      <c r="Y795" s="134"/>
      <c r="Z795" s="134"/>
      <c r="AA795" s="134"/>
      <c r="AB795" s="134"/>
      <c r="AC795" s="134"/>
      <c r="AD795" s="134"/>
    </row>
    <row r="796" ht="15.75" customHeight="1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134"/>
      <c r="Y796" s="134"/>
      <c r="Z796" s="134"/>
      <c r="AA796" s="134"/>
      <c r="AB796" s="134"/>
      <c r="AC796" s="134"/>
      <c r="AD796" s="134"/>
    </row>
    <row r="797" ht="15.75" customHeight="1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134"/>
      <c r="Y797" s="134"/>
      <c r="Z797" s="134"/>
      <c r="AA797" s="134"/>
      <c r="AB797" s="134"/>
      <c r="AC797" s="134"/>
      <c r="AD797" s="134"/>
    </row>
    <row r="798" ht="15.75" customHeight="1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134"/>
      <c r="Y798" s="134"/>
      <c r="Z798" s="134"/>
      <c r="AA798" s="134"/>
      <c r="AB798" s="134"/>
      <c r="AC798" s="134"/>
      <c r="AD798" s="134"/>
    </row>
    <row r="799" ht="15.75" customHeight="1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134"/>
      <c r="Y799" s="134"/>
      <c r="Z799" s="134"/>
      <c r="AA799" s="134"/>
      <c r="AB799" s="134"/>
      <c r="AC799" s="134"/>
      <c r="AD799" s="134"/>
    </row>
    <row r="800" ht="15.75" customHeight="1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134"/>
      <c r="Y800" s="134"/>
      <c r="Z800" s="134"/>
      <c r="AA800" s="134"/>
      <c r="AB800" s="134"/>
      <c r="AC800" s="134"/>
      <c r="AD800" s="134"/>
    </row>
    <row r="801" ht="15.75" customHeight="1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134"/>
      <c r="Y801" s="134"/>
      <c r="Z801" s="134"/>
      <c r="AA801" s="134"/>
      <c r="AB801" s="134"/>
      <c r="AC801" s="134"/>
      <c r="AD801" s="134"/>
    </row>
    <row r="802" ht="15.75" customHeight="1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134"/>
      <c r="Y802" s="134"/>
      <c r="Z802" s="134"/>
      <c r="AA802" s="134"/>
      <c r="AB802" s="134"/>
      <c r="AC802" s="134"/>
      <c r="AD802" s="134"/>
    </row>
    <row r="803" ht="15.75" customHeight="1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134"/>
      <c r="Y803" s="134"/>
      <c r="Z803" s="134"/>
      <c r="AA803" s="134"/>
      <c r="AB803" s="134"/>
      <c r="AC803" s="134"/>
      <c r="AD803" s="134"/>
    </row>
    <row r="804" ht="15.75" customHeight="1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134"/>
      <c r="Y804" s="134"/>
      <c r="Z804" s="134"/>
      <c r="AA804" s="134"/>
      <c r="AB804" s="134"/>
      <c r="AC804" s="134"/>
      <c r="AD804" s="134"/>
    </row>
    <row r="805" ht="15.75" customHeight="1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134"/>
      <c r="Y805" s="134"/>
      <c r="Z805" s="134"/>
      <c r="AA805" s="134"/>
      <c r="AB805" s="134"/>
      <c r="AC805" s="134"/>
      <c r="AD805" s="134"/>
    </row>
    <row r="806" ht="15.75" customHeight="1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134"/>
      <c r="Y806" s="134"/>
      <c r="Z806" s="134"/>
      <c r="AA806" s="134"/>
      <c r="AB806" s="134"/>
      <c r="AC806" s="134"/>
      <c r="AD806" s="134"/>
    </row>
    <row r="807" ht="15.75" customHeight="1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134"/>
      <c r="Y807" s="134"/>
      <c r="Z807" s="134"/>
      <c r="AA807" s="134"/>
      <c r="AB807" s="134"/>
      <c r="AC807" s="134"/>
      <c r="AD807" s="134"/>
    </row>
    <row r="808" ht="15.75" customHeight="1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134"/>
      <c r="Y808" s="134"/>
      <c r="Z808" s="134"/>
      <c r="AA808" s="134"/>
      <c r="AB808" s="134"/>
      <c r="AC808" s="134"/>
      <c r="AD808" s="134"/>
    </row>
    <row r="809" ht="15.75" customHeight="1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134"/>
      <c r="Y809" s="134"/>
      <c r="Z809" s="134"/>
      <c r="AA809" s="134"/>
      <c r="AB809" s="134"/>
      <c r="AC809" s="134"/>
      <c r="AD809" s="134"/>
    </row>
    <row r="810" ht="15.75" customHeight="1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134"/>
      <c r="Y810" s="134"/>
      <c r="Z810" s="134"/>
      <c r="AA810" s="134"/>
      <c r="AB810" s="134"/>
      <c r="AC810" s="134"/>
      <c r="AD810" s="134"/>
    </row>
    <row r="811" ht="15.75" customHeight="1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134"/>
      <c r="Y811" s="134"/>
      <c r="Z811" s="134"/>
      <c r="AA811" s="134"/>
      <c r="AB811" s="134"/>
      <c r="AC811" s="134"/>
      <c r="AD811" s="134"/>
    </row>
    <row r="812" ht="15.75" customHeight="1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134"/>
      <c r="Y812" s="134"/>
      <c r="Z812" s="134"/>
      <c r="AA812" s="134"/>
      <c r="AB812" s="134"/>
      <c r="AC812" s="134"/>
      <c r="AD812" s="134"/>
    </row>
    <row r="813" ht="15.75" customHeight="1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134"/>
      <c r="Y813" s="134"/>
      <c r="Z813" s="134"/>
      <c r="AA813" s="134"/>
      <c r="AB813" s="134"/>
      <c r="AC813" s="134"/>
      <c r="AD813" s="134"/>
    </row>
    <row r="814" ht="15.75" customHeight="1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134"/>
      <c r="Y814" s="134"/>
      <c r="Z814" s="134"/>
      <c r="AA814" s="134"/>
      <c r="AB814" s="134"/>
      <c r="AC814" s="134"/>
      <c r="AD814" s="134"/>
    </row>
    <row r="815" ht="15.75" customHeight="1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134"/>
      <c r="Y815" s="134"/>
      <c r="Z815" s="134"/>
      <c r="AA815" s="134"/>
      <c r="AB815" s="134"/>
      <c r="AC815" s="134"/>
      <c r="AD815" s="134"/>
    </row>
    <row r="816" ht="15.75" customHeight="1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134"/>
      <c r="Y816" s="134"/>
      <c r="Z816" s="134"/>
      <c r="AA816" s="134"/>
      <c r="AB816" s="134"/>
      <c r="AC816" s="134"/>
      <c r="AD816" s="134"/>
    </row>
    <row r="817" ht="15.75" customHeight="1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134"/>
      <c r="Y817" s="134"/>
      <c r="Z817" s="134"/>
      <c r="AA817" s="134"/>
      <c r="AB817" s="134"/>
      <c r="AC817" s="134"/>
      <c r="AD817" s="134"/>
    </row>
    <row r="818" ht="15.75" customHeight="1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134"/>
      <c r="Y818" s="134"/>
      <c r="Z818" s="134"/>
      <c r="AA818" s="134"/>
      <c r="AB818" s="134"/>
      <c r="AC818" s="134"/>
      <c r="AD818" s="134"/>
    </row>
    <row r="819" ht="15.75" customHeight="1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134"/>
      <c r="Y819" s="134"/>
      <c r="Z819" s="134"/>
      <c r="AA819" s="134"/>
      <c r="AB819" s="134"/>
      <c r="AC819" s="134"/>
      <c r="AD819" s="134"/>
    </row>
    <row r="820" ht="15.75" customHeight="1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134"/>
      <c r="Y820" s="134"/>
      <c r="Z820" s="134"/>
      <c r="AA820" s="134"/>
      <c r="AB820" s="134"/>
      <c r="AC820" s="134"/>
      <c r="AD820" s="134"/>
    </row>
    <row r="821" ht="15.75" customHeight="1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134"/>
      <c r="Y821" s="134"/>
      <c r="Z821" s="134"/>
      <c r="AA821" s="134"/>
      <c r="AB821" s="134"/>
      <c r="AC821" s="134"/>
      <c r="AD821" s="134"/>
    </row>
    <row r="822" ht="15.75" customHeight="1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134"/>
      <c r="Y822" s="134"/>
      <c r="Z822" s="134"/>
      <c r="AA822" s="134"/>
      <c r="AB822" s="134"/>
      <c r="AC822" s="134"/>
      <c r="AD822" s="134"/>
    </row>
    <row r="823" ht="15.75" customHeight="1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134"/>
      <c r="Y823" s="134"/>
      <c r="Z823" s="134"/>
      <c r="AA823" s="134"/>
      <c r="AB823" s="134"/>
      <c r="AC823" s="134"/>
      <c r="AD823" s="134"/>
    </row>
    <row r="824" ht="15.75" customHeight="1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134"/>
      <c r="Y824" s="134"/>
      <c r="Z824" s="134"/>
      <c r="AA824" s="134"/>
      <c r="AB824" s="134"/>
      <c r="AC824" s="134"/>
      <c r="AD824" s="134"/>
    </row>
    <row r="825" ht="15.75" customHeight="1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134"/>
      <c r="Y825" s="134"/>
      <c r="Z825" s="134"/>
      <c r="AA825" s="134"/>
      <c r="AB825" s="134"/>
      <c r="AC825" s="134"/>
      <c r="AD825" s="134"/>
    </row>
    <row r="826" ht="15.75" customHeight="1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134"/>
      <c r="Y826" s="134"/>
      <c r="Z826" s="134"/>
      <c r="AA826" s="134"/>
      <c r="AB826" s="134"/>
      <c r="AC826" s="134"/>
      <c r="AD826" s="134"/>
    </row>
    <row r="827" ht="15.75" customHeight="1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134"/>
      <c r="Y827" s="134"/>
      <c r="Z827" s="134"/>
      <c r="AA827" s="134"/>
      <c r="AB827" s="134"/>
      <c r="AC827" s="134"/>
      <c r="AD827" s="134"/>
    </row>
    <row r="828" ht="15.75" customHeight="1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134"/>
      <c r="Y828" s="134"/>
      <c r="Z828" s="134"/>
      <c r="AA828" s="134"/>
      <c r="AB828" s="134"/>
      <c r="AC828" s="134"/>
      <c r="AD828" s="134"/>
    </row>
    <row r="829" ht="15.75" customHeight="1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134"/>
      <c r="Y829" s="134"/>
      <c r="Z829" s="134"/>
      <c r="AA829" s="134"/>
      <c r="AB829" s="134"/>
      <c r="AC829" s="134"/>
      <c r="AD829" s="134"/>
    </row>
    <row r="830" ht="15.75" customHeight="1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134"/>
      <c r="Y830" s="134"/>
      <c r="Z830" s="134"/>
      <c r="AA830" s="134"/>
      <c r="AB830" s="134"/>
      <c r="AC830" s="134"/>
      <c r="AD830" s="134"/>
    </row>
    <row r="831" ht="15.75" customHeight="1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134"/>
      <c r="Y831" s="134"/>
      <c r="Z831" s="134"/>
      <c r="AA831" s="134"/>
      <c r="AB831" s="134"/>
      <c r="AC831" s="134"/>
      <c r="AD831" s="134"/>
    </row>
    <row r="832" ht="15.75" customHeight="1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134"/>
      <c r="Y832" s="134"/>
      <c r="Z832" s="134"/>
      <c r="AA832" s="134"/>
      <c r="AB832" s="134"/>
      <c r="AC832" s="134"/>
      <c r="AD832" s="134"/>
    </row>
    <row r="833" ht="15.75" customHeight="1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134"/>
      <c r="Y833" s="134"/>
      <c r="Z833" s="134"/>
      <c r="AA833" s="134"/>
      <c r="AB833" s="134"/>
      <c r="AC833" s="134"/>
      <c r="AD833" s="134"/>
    </row>
    <row r="834" ht="15.75" customHeight="1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134"/>
      <c r="Y834" s="134"/>
      <c r="Z834" s="134"/>
      <c r="AA834" s="134"/>
      <c r="AB834" s="134"/>
      <c r="AC834" s="134"/>
      <c r="AD834" s="134"/>
    </row>
    <row r="835" ht="15.75" customHeight="1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134"/>
      <c r="Y835" s="134"/>
      <c r="Z835" s="134"/>
      <c r="AA835" s="134"/>
      <c r="AB835" s="134"/>
      <c r="AC835" s="134"/>
      <c r="AD835" s="134"/>
    </row>
    <row r="836" ht="15.75" customHeight="1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134"/>
      <c r="Y836" s="134"/>
      <c r="Z836" s="134"/>
      <c r="AA836" s="134"/>
      <c r="AB836" s="134"/>
      <c r="AC836" s="134"/>
      <c r="AD836" s="134"/>
    </row>
    <row r="837" ht="15.75" customHeight="1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134"/>
      <c r="Y837" s="134"/>
      <c r="Z837" s="134"/>
      <c r="AA837" s="134"/>
      <c r="AB837" s="134"/>
      <c r="AC837" s="134"/>
      <c r="AD837" s="134"/>
    </row>
    <row r="838" ht="15.75" customHeight="1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134"/>
      <c r="Y838" s="134"/>
      <c r="Z838" s="134"/>
      <c r="AA838" s="134"/>
      <c r="AB838" s="134"/>
      <c r="AC838" s="134"/>
      <c r="AD838" s="134"/>
    </row>
    <row r="839" ht="15.75" customHeight="1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134"/>
      <c r="Y839" s="134"/>
      <c r="Z839" s="134"/>
      <c r="AA839" s="134"/>
      <c r="AB839" s="134"/>
      <c r="AC839" s="134"/>
      <c r="AD839" s="134"/>
    </row>
    <row r="840" ht="15.75" customHeight="1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134"/>
      <c r="Y840" s="134"/>
      <c r="Z840" s="134"/>
      <c r="AA840" s="134"/>
      <c r="AB840" s="134"/>
      <c r="AC840" s="134"/>
      <c r="AD840" s="134"/>
    </row>
    <row r="841" ht="15.75" customHeight="1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134"/>
      <c r="Y841" s="134"/>
      <c r="Z841" s="134"/>
      <c r="AA841" s="134"/>
      <c r="AB841" s="134"/>
      <c r="AC841" s="134"/>
      <c r="AD841" s="134"/>
    </row>
    <row r="842" ht="15.75" customHeight="1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134"/>
      <c r="Y842" s="134"/>
      <c r="Z842" s="134"/>
      <c r="AA842" s="134"/>
      <c r="AB842" s="134"/>
      <c r="AC842" s="134"/>
      <c r="AD842" s="134"/>
    </row>
    <row r="843" ht="15.75" customHeight="1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134"/>
      <c r="Y843" s="134"/>
      <c r="Z843" s="134"/>
      <c r="AA843" s="134"/>
      <c r="AB843" s="134"/>
      <c r="AC843" s="134"/>
      <c r="AD843" s="134"/>
    </row>
    <row r="844" ht="15.75" customHeight="1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134"/>
      <c r="Y844" s="134"/>
      <c r="Z844" s="134"/>
      <c r="AA844" s="134"/>
      <c r="AB844" s="134"/>
      <c r="AC844" s="134"/>
      <c r="AD844" s="134"/>
    </row>
    <row r="845" ht="15.75" customHeight="1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134"/>
      <c r="Y845" s="134"/>
      <c r="Z845" s="134"/>
      <c r="AA845" s="134"/>
      <c r="AB845" s="134"/>
      <c r="AC845" s="134"/>
      <c r="AD845" s="134"/>
    </row>
    <row r="846" ht="15.75" customHeight="1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134"/>
      <c r="Y846" s="134"/>
      <c r="Z846" s="134"/>
      <c r="AA846" s="134"/>
      <c r="AB846" s="134"/>
      <c r="AC846" s="134"/>
      <c r="AD846" s="134"/>
    </row>
    <row r="847" ht="15.75" customHeight="1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134"/>
      <c r="Y847" s="134"/>
      <c r="Z847" s="134"/>
      <c r="AA847" s="134"/>
      <c r="AB847" s="134"/>
      <c r="AC847" s="134"/>
      <c r="AD847" s="134"/>
    </row>
    <row r="848" ht="15.75" customHeight="1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134"/>
      <c r="Y848" s="134"/>
      <c r="Z848" s="134"/>
      <c r="AA848" s="134"/>
      <c r="AB848" s="134"/>
      <c r="AC848" s="134"/>
      <c r="AD848" s="134"/>
    </row>
    <row r="849" ht="15.75" customHeight="1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134"/>
      <c r="Y849" s="134"/>
      <c r="Z849" s="134"/>
      <c r="AA849" s="134"/>
      <c r="AB849" s="134"/>
      <c r="AC849" s="134"/>
      <c r="AD849" s="134"/>
    </row>
    <row r="850" ht="15.75" customHeight="1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134"/>
      <c r="Y850" s="134"/>
      <c r="Z850" s="134"/>
      <c r="AA850" s="134"/>
      <c r="AB850" s="134"/>
      <c r="AC850" s="134"/>
      <c r="AD850" s="134"/>
    </row>
    <row r="851" ht="15.75" customHeight="1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134"/>
      <c r="Y851" s="134"/>
      <c r="Z851" s="134"/>
      <c r="AA851" s="134"/>
      <c r="AB851" s="134"/>
      <c r="AC851" s="134"/>
      <c r="AD851" s="134"/>
    </row>
    <row r="852" ht="15.75" customHeight="1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134"/>
      <c r="Y852" s="134"/>
      <c r="Z852" s="134"/>
      <c r="AA852" s="134"/>
      <c r="AB852" s="134"/>
      <c r="AC852" s="134"/>
      <c r="AD852" s="134"/>
    </row>
    <row r="853" ht="15.75" customHeight="1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134"/>
      <c r="Y853" s="134"/>
      <c r="Z853" s="134"/>
      <c r="AA853" s="134"/>
      <c r="AB853" s="134"/>
      <c r="AC853" s="134"/>
      <c r="AD853" s="134"/>
    </row>
    <row r="854" ht="15.75" customHeight="1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134"/>
      <c r="Y854" s="134"/>
      <c r="Z854" s="134"/>
      <c r="AA854" s="134"/>
      <c r="AB854" s="134"/>
      <c r="AC854" s="134"/>
      <c r="AD854" s="134"/>
    </row>
    <row r="855" ht="15.75" customHeight="1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134"/>
      <c r="Y855" s="134"/>
      <c r="Z855" s="134"/>
      <c r="AA855" s="134"/>
      <c r="AB855" s="134"/>
      <c r="AC855" s="134"/>
      <c r="AD855" s="134"/>
    </row>
    <row r="856" ht="15.75" customHeight="1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134"/>
      <c r="Y856" s="134"/>
      <c r="Z856" s="134"/>
      <c r="AA856" s="134"/>
      <c r="AB856" s="134"/>
      <c r="AC856" s="134"/>
      <c r="AD856" s="134"/>
    </row>
    <row r="857" ht="15.75" customHeight="1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134"/>
      <c r="Y857" s="134"/>
      <c r="Z857" s="134"/>
      <c r="AA857" s="134"/>
      <c r="AB857" s="134"/>
      <c r="AC857" s="134"/>
      <c r="AD857" s="134"/>
    </row>
    <row r="858" ht="15.75" customHeight="1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134"/>
      <c r="Y858" s="134"/>
      <c r="Z858" s="134"/>
      <c r="AA858" s="134"/>
      <c r="AB858" s="134"/>
      <c r="AC858" s="134"/>
      <c r="AD858" s="134"/>
    </row>
    <row r="859" ht="15.75" customHeight="1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134"/>
      <c r="Y859" s="134"/>
      <c r="Z859" s="134"/>
      <c r="AA859" s="134"/>
      <c r="AB859" s="134"/>
      <c r="AC859" s="134"/>
      <c r="AD859" s="134"/>
    </row>
    <row r="860" ht="15.75" customHeight="1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134"/>
      <c r="Y860" s="134"/>
      <c r="Z860" s="134"/>
      <c r="AA860" s="134"/>
      <c r="AB860" s="134"/>
      <c r="AC860" s="134"/>
      <c r="AD860" s="134"/>
    </row>
    <row r="861" ht="15.75" customHeight="1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134"/>
      <c r="Y861" s="134"/>
      <c r="Z861" s="134"/>
      <c r="AA861" s="134"/>
      <c r="AB861" s="134"/>
      <c r="AC861" s="134"/>
      <c r="AD861" s="134"/>
    </row>
    <row r="862" ht="15.75" customHeight="1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134"/>
      <c r="Y862" s="134"/>
      <c r="Z862" s="134"/>
      <c r="AA862" s="134"/>
      <c r="AB862" s="134"/>
      <c r="AC862" s="134"/>
      <c r="AD862" s="134"/>
    </row>
    <row r="863" ht="15.75" customHeight="1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134"/>
      <c r="Y863" s="134"/>
      <c r="Z863" s="134"/>
      <c r="AA863" s="134"/>
      <c r="AB863" s="134"/>
      <c r="AC863" s="134"/>
      <c r="AD863" s="134"/>
    </row>
    <row r="864" ht="15.75" customHeight="1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134"/>
      <c r="Y864" s="134"/>
      <c r="Z864" s="134"/>
      <c r="AA864" s="134"/>
      <c r="AB864" s="134"/>
      <c r="AC864" s="134"/>
      <c r="AD864" s="134"/>
    </row>
    <row r="865" ht="15.75" customHeight="1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134"/>
      <c r="Y865" s="134"/>
      <c r="Z865" s="134"/>
      <c r="AA865" s="134"/>
      <c r="AB865" s="134"/>
      <c r="AC865" s="134"/>
      <c r="AD865" s="134"/>
    </row>
    <row r="866" ht="15.75" customHeight="1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134"/>
      <c r="Y866" s="134"/>
      <c r="Z866" s="134"/>
      <c r="AA866" s="134"/>
      <c r="AB866" s="134"/>
      <c r="AC866" s="134"/>
      <c r="AD866" s="134"/>
    </row>
    <row r="867" ht="15.75" customHeight="1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134"/>
      <c r="Y867" s="134"/>
      <c r="Z867" s="134"/>
      <c r="AA867" s="134"/>
      <c r="AB867" s="134"/>
      <c r="AC867" s="134"/>
      <c r="AD867" s="134"/>
    </row>
    <row r="868" ht="15.75" customHeight="1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134"/>
      <c r="Y868" s="134"/>
      <c r="Z868" s="134"/>
      <c r="AA868" s="134"/>
      <c r="AB868" s="134"/>
      <c r="AC868" s="134"/>
      <c r="AD868" s="134"/>
    </row>
    <row r="869" ht="15.75" customHeight="1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134"/>
      <c r="Y869" s="134"/>
      <c r="Z869" s="134"/>
      <c r="AA869" s="134"/>
      <c r="AB869" s="134"/>
      <c r="AC869" s="134"/>
      <c r="AD869" s="134"/>
    </row>
    <row r="870" ht="15.75" customHeight="1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134"/>
      <c r="Y870" s="134"/>
      <c r="Z870" s="134"/>
      <c r="AA870" s="134"/>
      <c r="AB870" s="134"/>
      <c r="AC870" s="134"/>
      <c r="AD870" s="134"/>
    </row>
    <row r="871" ht="15.75" customHeight="1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134"/>
      <c r="Y871" s="134"/>
      <c r="Z871" s="134"/>
      <c r="AA871" s="134"/>
      <c r="AB871" s="134"/>
      <c r="AC871" s="134"/>
      <c r="AD871" s="134"/>
    </row>
    <row r="872" ht="15.75" customHeight="1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134"/>
      <c r="Y872" s="134"/>
      <c r="Z872" s="134"/>
      <c r="AA872" s="134"/>
      <c r="AB872" s="134"/>
      <c r="AC872" s="134"/>
      <c r="AD872" s="134"/>
    </row>
    <row r="873" ht="15.75" customHeight="1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134"/>
      <c r="Y873" s="134"/>
      <c r="Z873" s="134"/>
      <c r="AA873" s="134"/>
      <c r="AB873" s="134"/>
      <c r="AC873" s="134"/>
      <c r="AD873" s="134"/>
    </row>
    <row r="874" ht="15.75" customHeight="1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134"/>
      <c r="Y874" s="134"/>
      <c r="Z874" s="134"/>
      <c r="AA874" s="134"/>
      <c r="AB874" s="134"/>
      <c r="AC874" s="134"/>
      <c r="AD874" s="134"/>
    </row>
    <row r="875" ht="15.75" customHeight="1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134"/>
      <c r="Y875" s="134"/>
      <c r="Z875" s="134"/>
      <c r="AA875" s="134"/>
      <c r="AB875" s="134"/>
      <c r="AC875" s="134"/>
      <c r="AD875" s="134"/>
    </row>
    <row r="876" ht="15.75" customHeight="1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134"/>
      <c r="Y876" s="134"/>
      <c r="Z876" s="134"/>
      <c r="AA876" s="134"/>
      <c r="AB876" s="134"/>
      <c r="AC876" s="134"/>
      <c r="AD876" s="134"/>
    </row>
    <row r="877" ht="15.75" customHeight="1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134"/>
      <c r="Y877" s="134"/>
      <c r="Z877" s="134"/>
      <c r="AA877" s="134"/>
      <c r="AB877" s="134"/>
      <c r="AC877" s="134"/>
      <c r="AD877" s="134"/>
    </row>
    <row r="878" ht="15.75" customHeight="1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134"/>
      <c r="Y878" s="134"/>
      <c r="Z878" s="134"/>
      <c r="AA878" s="134"/>
      <c r="AB878" s="134"/>
      <c r="AC878" s="134"/>
      <c r="AD878" s="134"/>
    </row>
    <row r="879" ht="15.75" customHeight="1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134"/>
      <c r="Y879" s="134"/>
      <c r="Z879" s="134"/>
      <c r="AA879" s="134"/>
      <c r="AB879" s="134"/>
      <c r="AC879" s="134"/>
      <c r="AD879" s="134"/>
    </row>
    <row r="880" ht="15.75" customHeight="1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134"/>
      <c r="Y880" s="134"/>
      <c r="Z880" s="134"/>
      <c r="AA880" s="134"/>
      <c r="AB880" s="134"/>
      <c r="AC880" s="134"/>
      <c r="AD880" s="134"/>
    </row>
    <row r="881" ht="15.75" customHeight="1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134"/>
      <c r="Y881" s="134"/>
      <c r="Z881" s="134"/>
      <c r="AA881" s="134"/>
      <c r="AB881" s="134"/>
      <c r="AC881" s="134"/>
      <c r="AD881" s="134"/>
    </row>
    <row r="882" ht="15.75" customHeight="1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134"/>
      <c r="Y882" s="134"/>
      <c r="Z882" s="134"/>
      <c r="AA882" s="134"/>
      <c r="AB882" s="134"/>
      <c r="AC882" s="134"/>
      <c r="AD882" s="134"/>
    </row>
    <row r="883" ht="15.75" customHeight="1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134"/>
      <c r="Y883" s="134"/>
      <c r="Z883" s="134"/>
      <c r="AA883" s="134"/>
      <c r="AB883" s="134"/>
      <c r="AC883" s="134"/>
      <c r="AD883" s="134"/>
    </row>
    <row r="884" ht="15.75" customHeight="1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134"/>
      <c r="Y884" s="134"/>
      <c r="Z884" s="134"/>
      <c r="AA884" s="134"/>
      <c r="AB884" s="134"/>
      <c r="AC884" s="134"/>
      <c r="AD884" s="134"/>
    </row>
    <row r="885" ht="15.75" customHeight="1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134"/>
      <c r="Y885" s="134"/>
      <c r="Z885" s="134"/>
      <c r="AA885" s="134"/>
      <c r="AB885" s="134"/>
      <c r="AC885" s="134"/>
      <c r="AD885" s="134"/>
    </row>
    <row r="886" ht="15.75" customHeight="1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134"/>
      <c r="Y886" s="134"/>
      <c r="Z886" s="134"/>
      <c r="AA886" s="134"/>
      <c r="AB886" s="134"/>
      <c r="AC886" s="134"/>
      <c r="AD886" s="134"/>
    </row>
    <row r="887" ht="15.75" customHeight="1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134"/>
      <c r="Y887" s="134"/>
      <c r="Z887" s="134"/>
      <c r="AA887" s="134"/>
      <c r="AB887" s="134"/>
      <c r="AC887" s="134"/>
      <c r="AD887" s="134"/>
    </row>
    <row r="888" ht="15.75" customHeight="1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134"/>
      <c r="Y888" s="134"/>
      <c r="Z888" s="134"/>
      <c r="AA888" s="134"/>
      <c r="AB888" s="134"/>
      <c r="AC888" s="134"/>
      <c r="AD888" s="134"/>
    </row>
    <row r="889" ht="15.75" customHeight="1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134"/>
      <c r="Y889" s="134"/>
      <c r="Z889" s="134"/>
      <c r="AA889" s="134"/>
      <c r="AB889" s="134"/>
      <c r="AC889" s="134"/>
      <c r="AD889" s="134"/>
    </row>
    <row r="890" ht="15.75" customHeight="1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134"/>
      <c r="Y890" s="134"/>
      <c r="Z890" s="134"/>
      <c r="AA890" s="134"/>
      <c r="AB890" s="134"/>
      <c r="AC890" s="134"/>
      <c r="AD890" s="134"/>
    </row>
    <row r="891" ht="15.75" customHeight="1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134"/>
      <c r="Y891" s="134"/>
      <c r="Z891" s="134"/>
      <c r="AA891" s="134"/>
      <c r="AB891" s="134"/>
      <c r="AC891" s="134"/>
      <c r="AD891" s="134"/>
    </row>
    <row r="892" ht="15.75" customHeight="1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134"/>
      <c r="Y892" s="134"/>
      <c r="Z892" s="134"/>
      <c r="AA892" s="134"/>
      <c r="AB892" s="134"/>
      <c r="AC892" s="134"/>
      <c r="AD892" s="134"/>
    </row>
    <row r="893" ht="15.75" customHeight="1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134"/>
      <c r="Y893" s="134"/>
      <c r="Z893" s="134"/>
      <c r="AA893" s="134"/>
      <c r="AB893" s="134"/>
      <c r="AC893" s="134"/>
      <c r="AD893" s="134"/>
    </row>
    <row r="894" ht="15.75" customHeight="1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134"/>
      <c r="Y894" s="134"/>
      <c r="Z894" s="134"/>
      <c r="AA894" s="134"/>
      <c r="AB894" s="134"/>
      <c r="AC894" s="134"/>
      <c r="AD894" s="134"/>
    </row>
    <row r="895" ht="15.75" customHeight="1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134"/>
      <c r="Y895" s="134"/>
      <c r="Z895" s="134"/>
      <c r="AA895" s="134"/>
      <c r="AB895" s="134"/>
      <c r="AC895" s="134"/>
      <c r="AD895" s="134"/>
    </row>
    <row r="896" ht="15.75" customHeight="1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134"/>
      <c r="Y896" s="134"/>
      <c r="Z896" s="134"/>
      <c r="AA896" s="134"/>
      <c r="AB896" s="134"/>
      <c r="AC896" s="134"/>
      <c r="AD896" s="134"/>
    </row>
    <row r="897" ht="15.75" customHeight="1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134"/>
      <c r="Y897" s="134"/>
      <c r="Z897" s="134"/>
      <c r="AA897" s="134"/>
      <c r="AB897" s="134"/>
      <c r="AC897" s="134"/>
      <c r="AD897" s="134"/>
    </row>
    <row r="898" ht="15.75" customHeight="1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134"/>
      <c r="Y898" s="134"/>
      <c r="Z898" s="134"/>
      <c r="AA898" s="134"/>
      <c r="AB898" s="134"/>
      <c r="AC898" s="134"/>
      <c r="AD898" s="134"/>
    </row>
    <row r="899" ht="15.75" customHeight="1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134"/>
      <c r="Y899" s="134"/>
      <c r="Z899" s="134"/>
      <c r="AA899" s="134"/>
      <c r="AB899" s="134"/>
      <c r="AC899" s="134"/>
      <c r="AD899" s="134"/>
    </row>
    <row r="900" ht="15.75" customHeight="1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134"/>
      <c r="Y900" s="134"/>
      <c r="Z900" s="134"/>
      <c r="AA900" s="134"/>
      <c r="AB900" s="134"/>
      <c r="AC900" s="134"/>
      <c r="AD900" s="134"/>
    </row>
    <row r="901" ht="15.75" customHeight="1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134"/>
      <c r="Y901" s="134"/>
      <c r="Z901" s="134"/>
      <c r="AA901" s="134"/>
      <c r="AB901" s="134"/>
      <c r="AC901" s="134"/>
      <c r="AD901" s="134"/>
    </row>
    <row r="902" ht="15.75" customHeight="1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134"/>
      <c r="Y902" s="134"/>
      <c r="Z902" s="134"/>
      <c r="AA902" s="134"/>
      <c r="AB902" s="134"/>
      <c r="AC902" s="134"/>
      <c r="AD902" s="134"/>
    </row>
    <row r="903" ht="15.75" customHeight="1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134"/>
      <c r="Y903" s="134"/>
      <c r="Z903" s="134"/>
      <c r="AA903" s="134"/>
      <c r="AB903" s="134"/>
      <c r="AC903" s="134"/>
      <c r="AD903" s="134"/>
    </row>
    <row r="904" ht="15.75" customHeight="1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134"/>
      <c r="Y904" s="134"/>
      <c r="Z904" s="134"/>
      <c r="AA904" s="134"/>
      <c r="AB904" s="134"/>
      <c r="AC904" s="134"/>
      <c r="AD904" s="134"/>
    </row>
    <row r="905" ht="15.75" customHeight="1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134"/>
      <c r="Y905" s="134"/>
      <c r="Z905" s="134"/>
      <c r="AA905" s="134"/>
      <c r="AB905" s="134"/>
      <c r="AC905" s="134"/>
      <c r="AD905" s="134"/>
    </row>
    <row r="906" ht="15.75" customHeight="1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134"/>
      <c r="Y906" s="134"/>
      <c r="Z906" s="134"/>
      <c r="AA906" s="134"/>
      <c r="AB906" s="134"/>
      <c r="AC906" s="134"/>
      <c r="AD906" s="134"/>
    </row>
    <row r="907" ht="15.75" customHeight="1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134"/>
      <c r="Y907" s="134"/>
      <c r="Z907" s="134"/>
      <c r="AA907" s="134"/>
      <c r="AB907" s="134"/>
      <c r="AC907" s="134"/>
      <c r="AD907" s="134"/>
    </row>
    <row r="908" ht="15.75" customHeight="1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134"/>
      <c r="Y908" s="134"/>
      <c r="Z908" s="134"/>
      <c r="AA908" s="134"/>
      <c r="AB908" s="134"/>
      <c r="AC908" s="134"/>
      <c r="AD908" s="134"/>
    </row>
    <row r="909" ht="15.75" customHeight="1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134"/>
      <c r="Y909" s="134"/>
      <c r="Z909" s="134"/>
      <c r="AA909" s="134"/>
      <c r="AB909" s="134"/>
      <c r="AC909" s="134"/>
      <c r="AD909" s="134"/>
    </row>
    <row r="910" ht="15.75" customHeight="1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134"/>
      <c r="Y910" s="134"/>
      <c r="Z910" s="134"/>
      <c r="AA910" s="134"/>
      <c r="AB910" s="134"/>
      <c r="AC910" s="134"/>
      <c r="AD910" s="134"/>
    </row>
    <row r="911" ht="15.75" customHeight="1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134"/>
      <c r="Y911" s="134"/>
      <c r="Z911" s="134"/>
      <c r="AA911" s="134"/>
      <c r="AB911" s="134"/>
      <c r="AC911" s="134"/>
      <c r="AD911" s="134"/>
    </row>
    <row r="912" ht="15.75" customHeight="1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134"/>
      <c r="Y912" s="134"/>
      <c r="Z912" s="134"/>
      <c r="AA912" s="134"/>
      <c r="AB912" s="134"/>
      <c r="AC912" s="134"/>
      <c r="AD912" s="134"/>
    </row>
    <row r="913" ht="15.75" customHeight="1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134"/>
      <c r="Y913" s="134"/>
      <c r="Z913" s="134"/>
      <c r="AA913" s="134"/>
      <c r="AB913" s="134"/>
      <c r="AC913" s="134"/>
      <c r="AD913" s="134"/>
    </row>
    <row r="914" ht="15.75" customHeight="1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134"/>
      <c r="Y914" s="134"/>
      <c r="Z914" s="134"/>
      <c r="AA914" s="134"/>
      <c r="AB914" s="134"/>
      <c r="AC914" s="134"/>
      <c r="AD914" s="134"/>
    </row>
    <row r="915" ht="15.75" customHeight="1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134"/>
      <c r="Y915" s="134"/>
      <c r="Z915" s="134"/>
      <c r="AA915" s="134"/>
      <c r="AB915" s="134"/>
      <c r="AC915" s="134"/>
      <c r="AD915" s="134"/>
    </row>
    <row r="916" ht="15.75" customHeight="1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134"/>
      <c r="Y916" s="134"/>
      <c r="Z916" s="134"/>
      <c r="AA916" s="134"/>
      <c r="AB916" s="134"/>
      <c r="AC916" s="134"/>
      <c r="AD916" s="134"/>
    </row>
    <row r="917" ht="15.75" customHeight="1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134"/>
      <c r="Y917" s="134"/>
      <c r="Z917" s="134"/>
      <c r="AA917" s="134"/>
      <c r="AB917" s="134"/>
      <c r="AC917" s="134"/>
      <c r="AD917" s="134"/>
    </row>
    <row r="918" ht="15.75" customHeight="1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134"/>
      <c r="Y918" s="134"/>
      <c r="Z918" s="134"/>
      <c r="AA918" s="134"/>
      <c r="AB918" s="134"/>
      <c r="AC918" s="134"/>
      <c r="AD918" s="134"/>
    </row>
    <row r="919" ht="15.75" customHeight="1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134"/>
      <c r="Y919" s="134"/>
      <c r="Z919" s="134"/>
      <c r="AA919" s="134"/>
      <c r="AB919" s="134"/>
      <c r="AC919" s="134"/>
      <c r="AD919" s="134"/>
    </row>
    <row r="920" ht="15.75" customHeight="1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134"/>
      <c r="Y920" s="134"/>
      <c r="Z920" s="134"/>
      <c r="AA920" s="134"/>
      <c r="AB920" s="134"/>
      <c r="AC920" s="134"/>
      <c r="AD920" s="134"/>
    </row>
    <row r="921" ht="15.75" customHeight="1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134"/>
      <c r="Y921" s="134"/>
      <c r="Z921" s="134"/>
      <c r="AA921" s="134"/>
      <c r="AB921" s="134"/>
      <c r="AC921" s="134"/>
      <c r="AD921" s="134"/>
    </row>
    <row r="922" ht="15.75" customHeight="1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134"/>
      <c r="Y922" s="134"/>
      <c r="Z922" s="134"/>
      <c r="AA922" s="134"/>
      <c r="AB922" s="134"/>
      <c r="AC922" s="134"/>
      <c r="AD922" s="134"/>
    </row>
    <row r="923" ht="15.75" customHeight="1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134"/>
      <c r="Y923" s="134"/>
      <c r="Z923" s="134"/>
      <c r="AA923" s="134"/>
      <c r="AB923" s="134"/>
      <c r="AC923" s="134"/>
      <c r="AD923" s="134"/>
    </row>
    <row r="924" ht="15.75" customHeight="1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134"/>
      <c r="Y924" s="134"/>
      <c r="Z924" s="134"/>
      <c r="AA924" s="134"/>
      <c r="AB924" s="134"/>
      <c r="AC924" s="134"/>
      <c r="AD924" s="134"/>
    </row>
    <row r="925" ht="15.75" customHeight="1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134"/>
      <c r="Y925" s="134"/>
      <c r="Z925" s="134"/>
      <c r="AA925" s="134"/>
      <c r="AB925" s="134"/>
      <c r="AC925" s="134"/>
      <c r="AD925" s="134"/>
    </row>
    <row r="926" ht="15.75" customHeight="1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134"/>
      <c r="Y926" s="134"/>
      <c r="Z926" s="134"/>
      <c r="AA926" s="134"/>
      <c r="AB926" s="134"/>
      <c r="AC926" s="134"/>
      <c r="AD926" s="134"/>
    </row>
    <row r="927" ht="15.75" customHeight="1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134"/>
      <c r="Y927" s="134"/>
      <c r="Z927" s="134"/>
      <c r="AA927" s="134"/>
      <c r="AB927" s="134"/>
      <c r="AC927" s="134"/>
      <c r="AD927" s="134"/>
    </row>
    <row r="928" ht="15.75" customHeight="1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134"/>
      <c r="Y928" s="134"/>
      <c r="Z928" s="134"/>
      <c r="AA928" s="134"/>
      <c r="AB928" s="134"/>
      <c r="AC928" s="134"/>
      <c r="AD928" s="134"/>
    </row>
    <row r="929" ht="15.75" customHeight="1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134"/>
      <c r="Y929" s="134"/>
      <c r="Z929" s="134"/>
      <c r="AA929" s="134"/>
      <c r="AB929" s="134"/>
      <c r="AC929" s="134"/>
      <c r="AD929" s="134"/>
    </row>
    <row r="930" ht="15.75" customHeight="1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134"/>
      <c r="Y930" s="134"/>
      <c r="Z930" s="134"/>
      <c r="AA930" s="134"/>
      <c r="AB930" s="134"/>
      <c r="AC930" s="134"/>
      <c r="AD930" s="134"/>
    </row>
    <row r="931" ht="15.75" customHeight="1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134"/>
      <c r="Y931" s="134"/>
      <c r="Z931" s="134"/>
      <c r="AA931" s="134"/>
      <c r="AB931" s="134"/>
      <c r="AC931" s="134"/>
      <c r="AD931" s="134"/>
    </row>
    <row r="932" ht="15.75" customHeight="1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134"/>
      <c r="Y932" s="134"/>
      <c r="Z932" s="134"/>
      <c r="AA932" s="134"/>
      <c r="AB932" s="134"/>
      <c r="AC932" s="134"/>
      <c r="AD932" s="134"/>
    </row>
    <row r="933" ht="15.75" customHeight="1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134"/>
      <c r="Y933" s="134"/>
      <c r="Z933" s="134"/>
      <c r="AA933" s="134"/>
      <c r="AB933" s="134"/>
      <c r="AC933" s="134"/>
      <c r="AD933" s="134"/>
    </row>
    <row r="934" ht="15.75" customHeight="1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134"/>
      <c r="Y934" s="134"/>
      <c r="Z934" s="134"/>
      <c r="AA934" s="134"/>
      <c r="AB934" s="134"/>
      <c r="AC934" s="134"/>
      <c r="AD934" s="134"/>
    </row>
    <row r="935" ht="15.75" customHeight="1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134"/>
      <c r="Y935" s="134"/>
      <c r="Z935" s="134"/>
      <c r="AA935" s="134"/>
      <c r="AB935" s="134"/>
      <c r="AC935" s="134"/>
      <c r="AD935" s="134"/>
    </row>
    <row r="936" ht="15.75" customHeight="1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134"/>
      <c r="Y936" s="134"/>
      <c r="Z936" s="134"/>
      <c r="AA936" s="134"/>
      <c r="AB936" s="134"/>
      <c r="AC936" s="134"/>
      <c r="AD936" s="134"/>
    </row>
    <row r="937" ht="15.75" customHeight="1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134"/>
      <c r="Y937" s="134"/>
      <c r="Z937" s="134"/>
      <c r="AA937" s="134"/>
      <c r="AB937" s="134"/>
      <c r="AC937" s="134"/>
      <c r="AD937" s="134"/>
    </row>
    <row r="938" ht="15.75" customHeight="1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134"/>
      <c r="Y938" s="134"/>
      <c r="Z938" s="134"/>
      <c r="AA938" s="134"/>
      <c r="AB938" s="134"/>
      <c r="AC938" s="134"/>
      <c r="AD938" s="134"/>
    </row>
    <row r="939" ht="15.75" customHeight="1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134"/>
      <c r="Y939" s="134"/>
      <c r="Z939" s="134"/>
      <c r="AA939" s="134"/>
      <c r="AB939" s="134"/>
      <c r="AC939" s="134"/>
      <c r="AD939" s="134"/>
    </row>
    <row r="940" ht="15.75" customHeight="1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134"/>
      <c r="Y940" s="134"/>
      <c r="Z940" s="134"/>
      <c r="AA940" s="134"/>
      <c r="AB940" s="134"/>
      <c r="AC940" s="134"/>
      <c r="AD940" s="134"/>
    </row>
    <row r="941" ht="15.75" customHeight="1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134"/>
      <c r="Y941" s="134"/>
      <c r="Z941" s="134"/>
      <c r="AA941" s="134"/>
      <c r="AB941" s="134"/>
      <c r="AC941" s="134"/>
      <c r="AD941" s="134"/>
    </row>
    <row r="942" ht="15.75" customHeight="1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134"/>
      <c r="Y942" s="134"/>
      <c r="Z942" s="134"/>
      <c r="AA942" s="134"/>
      <c r="AB942" s="134"/>
      <c r="AC942" s="134"/>
      <c r="AD942" s="134"/>
    </row>
    <row r="943" ht="15.75" customHeight="1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134"/>
      <c r="Y943" s="134"/>
      <c r="Z943" s="134"/>
      <c r="AA943" s="134"/>
      <c r="AB943" s="134"/>
      <c r="AC943" s="134"/>
      <c r="AD943" s="134"/>
    </row>
    <row r="944" ht="15.75" customHeight="1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134"/>
      <c r="Y944" s="134"/>
      <c r="Z944" s="134"/>
      <c r="AA944" s="134"/>
      <c r="AB944" s="134"/>
      <c r="AC944" s="134"/>
      <c r="AD944" s="134"/>
    </row>
    <row r="945" ht="15.75" customHeight="1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134"/>
      <c r="Y945" s="134"/>
      <c r="Z945" s="134"/>
      <c r="AA945" s="134"/>
      <c r="AB945" s="134"/>
      <c r="AC945" s="134"/>
      <c r="AD945" s="134"/>
    </row>
    <row r="946" ht="15.75" customHeight="1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134"/>
      <c r="Y946" s="134"/>
      <c r="Z946" s="134"/>
      <c r="AA946" s="134"/>
      <c r="AB946" s="134"/>
      <c r="AC946" s="134"/>
      <c r="AD946" s="134"/>
    </row>
    <row r="947" ht="15.75" customHeight="1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134"/>
      <c r="Y947" s="134"/>
      <c r="Z947" s="134"/>
      <c r="AA947" s="134"/>
      <c r="AB947" s="134"/>
      <c r="AC947" s="134"/>
      <c r="AD947" s="134"/>
    </row>
    <row r="948" ht="15.75" customHeight="1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134"/>
      <c r="Y948" s="134"/>
      <c r="Z948" s="134"/>
      <c r="AA948" s="134"/>
      <c r="AB948" s="134"/>
      <c r="AC948" s="134"/>
      <c r="AD948" s="134"/>
    </row>
    <row r="949" ht="15.75" customHeight="1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134"/>
      <c r="Y949" s="134"/>
      <c r="Z949" s="134"/>
      <c r="AA949" s="134"/>
      <c r="AB949" s="134"/>
      <c r="AC949" s="134"/>
      <c r="AD949" s="134"/>
    </row>
    <row r="950" ht="15.75" customHeight="1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134"/>
      <c r="Y950" s="134"/>
      <c r="Z950" s="134"/>
      <c r="AA950" s="134"/>
      <c r="AB950" s="134"/>
      <c r="AC950" s="134"/>
      <c r="AD950" s="134"/>
    </row>
    <row r="951" ht="15.75" customHeight="1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134"/>
      <c r="Y951" s="134"/>
      <c r="Z951" s="134"/>
      <c r="AA951" s="134"/>
      <c r="AB951" s="134"/>
      <c r="AC951" s="134"/>
      <c r="AD951" s="134"/>
    </row>
    <row r="952" ht="15.75" customHeight="1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134"/>
      <c r="Y952" s="134"/>
      <c r="Z952" s="134"/>
      <c r="AA952" s="134"/>
      <c r="AB952" s="134"/>
      <c r="AC952" s="134"/>
      <c r="AD952" s="134"/>
    </row>
    <row r="953" ht="15.75" customHeight="1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134"/>
      <c r="Y953" s="134"/>
      <c r="Z953" s="134"/>
      <c r="AA953" s="134"/>
      <c r="AB953" s="134"/>
      <c r="AC953" s="134"/>
      <c r="AD953" s="134"/>
    </row>
    <row r="954" ht="15.75" customHeight="1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134"/>
      <c r="Y954" s="134"/>
      <c r="Z954" s="134"/>
      <c r="AA954" s="134"/>
      <c r="AB954" s="134"/>
      <c r="AC954" s="134"/>
      <c r="AD954" s="134"/>
    </row>
    <row r="955" ht="15.75" customHeight="1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134"/>
      <c r="Y955" s="134"/>
      <c r="Z955" s="134"/>
      <c r="AA955" s="134"/>
      <c r="AB955" s="134"/>
      <c r="AC955" s="134"/>
      <c r="AD955" s="134"/>
    </row>
    <row r="956" ht="15.75" customHeight="1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134"/>
      <c r="Y956" s="134"/>
      <c r="Z956" s="134"/>
      <c r="AA956" s="134"/>
      <c r="AB956" s="134"/>
      <c r="AC956" s="134"/>
      <c r="AD956" s="134"/>
    </row>
    <row r="957" ht="15.75" customHeight="1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134"/>
      <c r="Y957" s="134"/>
      <c r="Z957" s="134"/>
      <c r="AA957" s="134"/>
      <c r="AB957" s="134"/>
      <c r="AC957" s="134"/>
      <c r="AD957" s="134"/>
    </row>
    <row r="958" ht="15.75" customHeight="1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134"/>
      <c r="Y958" s="134"/>
      <c r="Z958" s="134"/>
      <c r="AA958" s="134"/>
      <c r="AB958" s="134"/>
      <c r="AC958" s="134"/>
      <c r="AD958" s="134"/>
    </row>
    <row r="959" ht="15.75" customHeight="1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134"/>
      <c r="Y959" s="134"/>
      <c r="Z959" s="134"/>
      <c r="AA959" s="134"/>
      <c r="AB959" s="134"/>
      <c r="AC959" s="134"/>
      <c r="AD959" s="134"/>
    </row>
    <row r="960" ht="15.75" customHeight="1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134"/>
      <c r="Y960" s="134"/>
      <c r="Z960" s="134"/>
      <c r="AA960" s="134"/>
      <c r="AB960" s="134"/>
      <c r="AC960" s="134"/>
      <c r="AD960" s="134"/>
    </row>
    <row r="961" ht="15.75" customHeight="1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134"/>
      <c r="Y961" s="134"/>
      <c r="Z961" s="134"/>
      <c r="AA961" s="134"/>
      <c r="AB961" s="134"/>
      <c r="AC961" s="134"/>
      <c r="AD961" s="134"/>
    </row>
    <row r="962" ht="15.75" customHeight="1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134"/>
      <c r="Y962" s="134"/>
      <c r="Z962" s="134"/>
      <c r="AA962" s="134"/>
      <c r="AB962" s="134"/>
      <c r="AC962" s="134"/>
      <c r="AD962" s="134"/>
    </row>
    <row r="963" ht="15.75" customHeight="1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134"/>
      <c r="Y963" s="134"/>
      <c r="Z963" s="134"/>
      <c r="AA963" s="134"/>
      <c r="AB963" s="134"/>
      <c r="AC963" s="134"/>
      <c r="AD963" s="134"/>
    </row>
    <row r="964" ht="15.75" customHeight="1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134"/>
      <c r="Y964" s="134"/>
      <c r="Z964" s="134"/>
      <c r="AA964" s="134"/>
      <c r="AB964" s="134"/>
      <c r="AC964" s="134"/>
      <c r="AD964" s="134"/>
    </row>
    <row r="965" ht="15.75" customHeight="1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134"/>
      <c r="Y965" s="134"/>
      <c r="Z965" s="134"/>
      <c r="AA965" s="134"/>
      <c r="AB965" s="134"/>
      <c r="AC965" s="134"/>
      <c r="AD965" s="134"/>
    </row>
    <row r="966" ht="15.75" customHeight="1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134"/>
      <c r="Y966" s="134"/>
      <c r="Z966" s="134"/>
      <c r="AA966" s="134"/>
      <c r="AB966" s="134"/>
      <c r="AC966" s="134"/>
      <c r="AD966" s="134"/>
    </row>
    <row r="967" ht="15.75" customHeight="1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134"/>
      <c r="Y967" s="134"/>
      <c r="Z967" s="134"/>
      <c r="AA967" s="134"/>
      <c r="AB967" s="134"/>
      <c r="AC967" s="134"/>
      <c r="AD967" s="134"/>
    </row>
    <row r="968" ht="15.75" customHeight="1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134"/>
      <c r="Y968" s="134"/>
      <c r="Z968" s="134"/>
      <c r="AA968" s="134"/>
      <c r="AB968" s="134"/>
      <c r="AC968" s="134"/>
      <c r="AD968" s="134"/>
    </row>
    <row r="969" ht="15.75" customHeight="1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134"/>
      <c r="Y969" s="134"/>
      <c r="Z969" s="134"/>
      <c r="AA969" s="134"/>
      <c r="AB969" s="134"/>
      <c r="AC969" s="134"/>
      <c r="AD969" s="134"/>
    </row>
    <row r="970" ht="15.75" customHeight="1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134"/>
      <c r="Y970" s="134"/>
      <c r="Z970" s="134"/>
      <c r="AA970" s="134"/>
      <c r="AB970" s="134"/>
      <c r="AC970" s="134"/>
      <c r="AD970" s="134"/>
    </row>
    <row r="971" ht="15.75" customHeight="1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134"/>
      <c r="Y971" s="134"/>
      <c r="Z971" s="134"/>
      <c r="AA971" s="134"/>
      <c r="AB971" s="134"/>
      <c r="AC971" s="134"/>
      <c r="AD971" s="134"/>
    </row>
    <row r="972" ht="15.75" customHeight="1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134"/>
      <c r="Y972" s="134"/>
      <c r="Z972" s="134"/>
      <c r="AA972" s="134"/>
      <c r="AB972" s="134"/>
      <c r="AC972" s="134"/>
      <c r="AD972" s="134"/>
    </row>
    <row r="973" ht="15.75" customHeight="1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134"/>
      <c r="Y973" s="134"/>
      <c r="Z973" s="134"/>
      <c r="AA973" s="134"/>
      <c r="AB973" s="134"/>
      <c r="AC973" s="134"/>
      <c r="AD973" s="134"/>
    </row>
    <row r="974" ht="15.75" customHeight="1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134"/>
      <c r="Y974" s="134"/>
      <c r="Z974" s="134"/>
      <c r="AA974" s="134"/>
      <c r="AB974" s="134"/>
      <c r="AC974" s="134"/>
      <c r="AD974" s="134"/>
    </row>
    <row r="975" ht="15.75" customHeight="1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134"/>
      <c r="Y975" s="134"/>
      <c r="Z975" s="134"/>
      <c r="AA975" s="134"/>
      <c r="AB975" s="134"/>
      <c r="AC975" s="134"/>
      <c r="AD975" s="134"/>
    </row>
    <row r="976" ht="15.75" customHeight="1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134"/>
      <c r="Y976" s="134"/>
      <c r="Z976" s="134"/>
      <c r="AA976" s="134"/>
      <c r="AB976" s="134"/>
      <c r="AC976" s="134"/>
      <c r="AD976" s="134"/>
    </row>
    <row r="977" ht="15.75" customHeight="1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134"/>
      <c r="Y977" s="134"/>
      <c r="Z977" s="134"/>
      <c r="AA977" s="134"/>
      <c r="AB977" s="134"/>
      <c r="AC977" s="134"/>
      <c r="AD977" s="134"/>
    </row>
    <row r="978" ht="15.75" customHeight="1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134"/>
      <c r="Y978" s="134"/>
      <c r="Z978" s="134"/>
      <c r="AA978" s="134"/>
      <c r="AB978" s="134"/>
      <c r="AC978" s="134"/>
      <c r="AD978" s="134"/>
    </row>
    <row r="979" ht="15.75" customHeight="1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134"/>
      <c r="Y979" s="134"/>
      <c r="Z979" s="134"/>
      <c r="AA979" s="134"/>
      <c r="AB979" s="134"/>
      <c r="AC979" s="134"/>
      <c r="AD979" s="134"/>
    </row>
    <row r="980" ht="15.75" customHeight="1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134"/>
      <c r="Y980" s="134"/>
      <c r="Z980" s="134"/>
      <c r="AA980" s="134"/>
      <c r="AB980" s="134"/>
      <c r="AC980" s="134"/>
      <c r="AD980" s="134"/>
    </row>
    <row r="981" ht="15.75" customHeight="1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134"/>
      <c r="Y981" s="134"/>
      <c r="Z981" s="134"/>
      <c r="AA981" s="134"/>
      <c r="AB981" s="134"/>
      <c r="AC981" s="134"/>
      <c r="AD981" s="134"/>
    </row>
    <row r="982" ht="15.75" customHeight="1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134"/>
      <c r="Y982" s="134"/>
      <c r="Z982" s="134"/>
      <c r="AA982" s="134"/>
      <c r="AB982" s="134"/>
      <c r="AC982" s="134"/>
      <c r="AD982" s="134"/>
    </row>
    <row r="983" ht="15.75" customHeight="1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134"/>
      <c r="Y983" s="134"/>
      <c r="Z983" s="134"/>
      <c r="AA983" s="134"/>
      <c r="AB983" s="134"/>
      <c r="AC983" s="134"/>
      <c r="AD983" s="134"/>
    </row>
    <row r="984" ht="15.75" customHeight="1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134"/>
      <c r="Y984" s="134"/>
      <c r="Z984" s="134"/>
      <c r="AA984" s="134"/>
      <c r="AB984" s="134"/>
      <c r="AC984" s="134"/>
      <c r="AD984" s="134"/>
    </row>
    <row r="985" ht="15.75" customHeight="1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134"/>
      <c r="Y985" s="134"/>
      <c r="Z985" s="134"/>
      <c r="AA985" s="134"/>
      <c r="AB985" s="134"/>
      <c r="AC985" s="134"/>
      <c r="AD985" s="134"/>
    </row>
    <row r="986" ht="15.75" customHeight="1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134"/>
      <c r="Y986" s="134"/>
      <c r="Z986" s="134"/>
      <c r="AA986" s="134"/>
      <c r="AB986" s="134"/>
      <c r="AC986" s="134"/>
      <c r="AD986" s="134"/>
    </row>
    <row r="987" ht="15.75" customHeight="1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134"/>
      <c r="Y987" s="134"/>
      <c r="Z987" s="134"/>
      <c r="AA987" s="134"/>
      <c r="AB987" s="134"/>
      <c r="AC987" s="134"/>
      <c r="AD987" s="134"/>
    </row>
    <row r="988" ht="15.75" customHeight="1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134"/>
      <c r="Y988" s="134"/>
      <c r="Z988" s="134"/>
      <c r="AA988" s="134"/>
      <c r="AB988" s="134"/>
      <c r="AC988" s="134"/>
      <c r="AD988" s="134"/>
    </row>
    <row r="989" ht="15.75" customHeight="1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134"/>
      <c r="Y989" s="134"/>
      <c r="Z989" s="134"/>
      <c r="AA989" s="134"/>
      <c r="AB989" s="134"/>
      <c r="AC989" s="134"/>
      <c r="AD989" s="134"/>
    </row>
    <row r="990" ht="15.75" customHeight="1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134"/>
      <c r="Y990" s="134"/>
      <c r="Z990" s="134"/>
      <c r="AA990" s="134"/>
      <c r="AB990" s="134"/>
      <c r="AC990" s="134"/>
      <c r="AD990" s="134"/>
    </row>
    <row r="991" ht="15.75" customHeight="1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134"/>
      <c r="Y991" s="134"/>
      <c r="Z991" s="134"/>
      <c r="AA991" s="134"/>
      <c r="AB991" s="134"/>
      <c r="AC991" s="134"/>
      <c r="AD991" s="134"/>
    </row>
    <row r="992" ht="15.75" customHeight="1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134"/>
      <c r="Y992" s="134"/>
      <c r="Z992" s="134"/>
      <c r="AA992" s="134"/>
      <c r="AB992" s="134"/>
      <c r="AC992" s="134"/>
      <c r="AD992" s="134"/>
    </row>
    <row r="993" ht="15.75" customHeight="1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134"/>
      <c r="Y993" s="134"/>
      <c r="Z993" s="134"/>
      <c r="AA993" s="134"/>
      <c r="AB993" s="134"/>
      <c r="AC993" s="134"/>
      <c r="AD993" s="134"/>
    </row>
    <row r="994" ht="15.75" customHeight="1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134"/>
      <c r="Y994" s="134"/>
      <c r="Z994" s="134"/>
      <c r="AA994" s="134"/>
      <c r="AB994" s="134"/>
      <c r="AC994" s="134"/>
      <c r="AD994" s="134"/>
    </row>
    <row r="995" ht="15.75" customHeight="1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134"/>
      <c r="Y995" s="134"/>
      <c r="Z995" s="134"/>
      <c r="AA995" s="134"/>
      <c r="AB995" s="134"/>
      <c r="AC995" s="134"/>
      <c r="AD995" s="134"/>
    </row>
    <row r="996" ht="15.75" customHeight="1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134"/>
      <c r="Y996" s="134"/>
      <c r="Z996" s="134"/>
      <c r="AA996" s="134"/>
      <c r="AB996" s="134"/>
      <c r="AC996" s="134"/>
      <c r="AD996" s="134"/>
    </row>
    <row r="997" ht="15.75" customHeight="1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134"/>
      <c r="Y997" s="134"/>
      <c r="Z997" s="134"/>
      <c r="AA997" s="134"/>
      <c r="AB997" s="134"/>
      <c r="AC997" s="134"/>
      <c r="AD997" s="134"/>
    </row>
    <row r="998" ht="15.75" customHeight="1">
      <c r="A998" s="202"/>
      <c r="B998" s="202"/>
      <c r="C998" s="202"/>
      <c r="D998" s="202"/>
      <c r="E998" s="202"/>
      <c r="F998" s="202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134"/>
      <c r="Y998" s="134"/>
      <c r="Z998" s="134"/>
      <c r="AA998" s="134"/>
      <c r="AB998" s="134"/>
      <c r="AC998" s="134"/>
      <c r="AD998" s="134"/>
    </row>
    <row r="999" ht="15.75" customHeight="1">
      <c r="A999" s="202"/>
      <c r="B999" s="202"/>
      <c r="C999" s="202"/>
      <c r="D999" s="202"/>
      <c r="E999" s="202"/>
      <c r="F999" s="202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134"/>
      <c r="Y999" s="134"/>
      <c r="Z999" s="134"/>
      <c r="AA999" s="134"/>
      <c r="AB999" s="134"/>
      <c r="AC999" s="134"/>
      <c r="AD999" s="134"/>
    </row>
    <row r="1000" ht="15.75" customHeight="1">
      <c r="A1000" s="202"/>
      <c r="B1000" s="202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134"/>
      <c r="Y1000" s="134"/>
      <c r="Z1000" s="134"/>
      <c r="AA1000" s="134"/>
      <c r="AB1000" s="134"/>
      <c r="AC1000" s="134"/>
      <c r="AD1000" s="134"/>
    </row>
  </sheetData>
  <mergeCells count="7">
    <mergeCell ref="A2:B2"/>
    <mergeCell ref="E2:I2"/>
    <mergeCell ref="G11:G12"/>
    <mergeCell ref="C28:D28"/>
    <mergeCell ref="A31:H31"/>
    <mergeCell ref="E72:G72"/>
    <mergeCell ref="B75:C75"/>
  </mergeCells>
  <conditionalFormatting sqref="C8:D8">
    <cfRule type="expression" dxfId="1" priority="1" stopIfTrue="1">
      <formula>$C$8&lt;&gt;""</formula>
    </cfRule>
  </conditionalFormatting>
  <conditionalFormatting sqref="C15:D15">
    <cfRule type="expression" dxfId="2" priority="2" stopIfTrue="1">
      <formula>$C$15&lt;&gt;""</formula>
    </cfRule>
  </conditionalFormatting>
  <conditionalFormatting sqref="C11:D11">
    <cfRule type="expression" dxfId="3" priority="3" stopIfTrue="1">
      <formula>$C$11&lt;&gt;""</formula>
    </cfRule>
  </conditionalFormatting>
  <conditionalFormatting sqref="C28">
    <cfRule type="expression" dxfId="0" priority="4" stopIfTrue="1">
      <formula>$C$28&lt;&gt;""</formula>
    </cfRule>
  </conditionalFormatting>
  <conditionalFormatting sqref="H5:I5">
    <cfRule type="expression" dxfId="3" priority="5" stopIfTrue="1">
      <formula>#REF!&lt;&gt;""</formula>
    </cfRule>
  </conditionalFormatting>
  <conditionalFormatting sqref="C18:D18">
    <cfRule type="expression" dxfId="4" priority="6" stopIfTrue="1">
      <formula>$C$18&lt;&gt;""</formula>
    </cfRule>
  </conditionalFormatting>
  <conditionalFormatting sqref="A30:B30">
    <cfRule type="expression" dxfId="5" priority="7" stopIfTrue="1">
      <formula>#REF!="Y"</formula>
    </cfRule>
  </conditionalFormatting>
  <conditionalFormatting sqref="A30:B30">
    <cfRule type="expression" dxfId="6" priority="8" stopIfTrue="1">
      <formula>#REF!="N"</formula>
    </cfRule>
  </conditionalFormatting>
  <conditionalFormatting sqref="G16">
    <cfRule type="expression" dxfId="0" priority="9">
      <formula>G16&lt;&gt;""</formula>
    </cfRule>
  </conditionalFormatting>
  <conditionalFormatting sqref="G17">
    <cfRule type="expression" dxfId="0" priority="10">
      <formula>G17&lt;&gt;""</formula>
    </cfRule>
  </conditionalFormatting>
  <conditionalFormatting sqref="G19">
    <cfRule type="expression" dxfId="0" priority="11">
      <formula>G19&lt;&gt;""</formula>
    </cfRule>
  </conditionalFormatting>
  <conditionalFormatting sqref="F17">
    <cfRule type="expression" dxfId="0" priority="12">
      <formula>$F$17&lt;&gt;""</formula>
    </cfRule>
  </conditionalFormatting>
  <conditionalFormatting sqref="D7">
    <cfRule type="expression" dxfId="0" priority="13">
      <formula>$D$7&lt;&gt;""</formula>
    </cfRule>
  </conditionalFormatting>
  <conditionalFormatting sqref="C16">
    <cfRule type="expression" dxfId="0" priority="14">
      <formula>$C$16&lt;&gt;""</formula>
    </cfRule>
  </conditionalFormatting>
  <conditionalFormatting sqref="G11">
    <cfRule type="expression" dxfId="0" priority="15">
      <formula>$G$11&lt;&gt;""</formula>
    </cfRule>
  </conditionalFormatting>
  <conditionalFormatting sqref="B26">
    <cfRule type="expression" dxfId="0" priority="16">
      <formula>$B$26&lt;&gt;""</formula>
    </cfRule>
  </conditionalFormatting>
  <conditionalFormatting sqref="A34:A70">
    <cfRule type="expression" dxfId="7" priority="17">
      <formula>A34&lt;&gt;""</formula>
    </cfRule>
  </conditionalFormatting>
  <conditionalFormatting sqref="B34:B70">
    <cfRule type="expression" dxfId="7" priority="18">
      <formula>B34&lt;&gt;""</formula>
    </cfRule>
  </conditionalFormatting>
  <conditionalFormatting sqref="C34:D70">
    <cfRule type="expression" dxfId="7" priority="19">
      <formula>C34&lt;&gt;""</formula>
    </cfRule>
  </conditionalFormatting>
  <conditionalFormatting sqref="E34:E70">
    <cfRule type="expression" dxfId="7" priority="20">
      <formula>E34&lt;&gt;""</formula>
    </cfRule>
  </conditionalFormatting>
  <conditionalFormatting sqref="F35:F70">
    <cfRule type="expression" dxfId="7" priority="21">
      <formula>F35&lt;&gt;""</formula>
    </cfRule>
  </conditionalFormatting>
  <conditionalFormatting sqref="G34:G70">
    <cfRule type="expression" dxfId="7" priority="22">
      <formula>G34&lt;&gt;""</formula>
    </cfRule>
  </conditionalFormatting>
  <conditionalFormatting sqref="H34:H70">
    <cfRule type="expression" dxfId="7" priority="23">
      <formula>H34&lt;&gt;""</formula>
    </cfRule>
  </conditionalFormatting>
  <conditionalFormatting sqref="I34:I70">
    <cfRule type="expression" dxfId="7" priority="24">
      <formula>I34&lt;&gt;""</formula>
    </cfRule>
  </conditionalFormatting>
  <conditionalFormatting sqref="F34:F69">
    <cfRule type="expression" dxfId="7" priority="25">
      <formula>F34&lt;&gt;""</formula>
    </cfRule>
  </conditionalFormatting>
  <printOptions horizontalCentered="1"/>
  <pageMargins bottom="0.0" footer="0.0" header="0.0" left="0.0" right="0.0" top="0.0"/>
  <pageSetup scale="4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2.0"/>
    <col customWidth="1" min="2" max="3" width="4.43"/>
    <col customWidth="1" min="4" max="4" width="15.71"/>
    <col customWidth="1" min="5" max="5" width="12.43"/>
    <col customWidth="1" min="6" max="6" width="12.0"/>
    <col customWidth="1" min="7" max="7" width="6.57"/>
    <col customWidth="1" min="8" max="9" width="4.57"/>
    <col customWidth="1" min="10" max="10" width="7.57"/>
    <col customWidth="1" min="11" max="12" width="13.0"/>
    <col customWidth="1" min="13" max="13" width="4.43"/>
    <col customWidth="1" hidden="1" min="14" max="14" width="7.57"/>
    <col customWidth="1" hidden="1" min="15" max="15" width="10.29"/>
    <col customWidth="1" hidden="1" min="16" max="22" width="2.0"/>
    <col customWidth="1" min="23" max="23" width="3.57"/>
    <col customWidth="1" min="24" max="24" width="12.71"/>
    <col customWidth="1" min="25" max="26" width="9.29"/>
    <col customWidth="1" hidden="1" min="27" max="28" width="8.71"/>
    <col customWidth="1" hidden="1" min="29" max="33" width="4.43"/>
    <col customWidth="1" hidden="1" min="34" max="34" width="7.71"/>
    <col customWidth="1" hidden="1" min="35" max="37" width="4.29"/>
    <col customWidth="1" hidden="1" min="38" max="40" width="4.43"/>
  </cols>
  <sheetData>
    <row r="1" ht="21.0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305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</row>
    <row r="2" ht="11.2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305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</row>
    <row r="3" ht="93.0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305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</row>
    <row r="4" ht="15.75" hidden="1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305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</row>
    <row r="5" ht="15.75" hidden="1" customHeigh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305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</row>
    <row r="6" ht="15.75" hidden="1" customHeight="1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305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</row>
    <row r="7" ht="15.75" customHeigh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305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</row>
    <row r="8" ht="15.75" customHeigh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305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</row>
    <row r="9" ht="15.75" customHeight="1">
      <c r="A9" s="134"/>
      <c r="B9" s="134"/>
      <c r="C9" s="134"/>
      <c r="D9" s="134"/>
      <c r="E9" s="134"/>
      <c r="F9" s="134"/>
      <c r="G9" s="134"/>
      <c r="H9" s="134"/>
      <c r="I9" s="134"/>
      <c r="J9" s="134"/>
      <c r="K9" s="305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</row>
    <row r="10" ht="15.75" customHeight="1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305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</row>
    <row r="11" ht="15.75" customHeight="1">
      <c r="A11" s="134"/>
      <c r="B11" s="134"/>
      <c r="C11" s="134"/>
      <c r="D11" s="134"/>
      <c r="E11" s="134"/>
      <c r="F11" s="134"/>
      <c r="G11" s="134"/>
      <c r="H11" s="134"/>
      <c r="I11" s="134"/>
      <c r="J11" s="134"/>
      <c r="K11" s="305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</row>
    <row r="12" ht="15.7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305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</row>
    <row r="13" ht="15.75" customHeight="1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305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</row>
    <row r="14" ht="15.75" customHeight="1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305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</row>
    <row r="15" ht="15.75" customHeight="1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305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</row>
    <row r="16" ht="15.75" customHeight="1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305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</row>
    <row r="17" ht="15.75" customHeight="1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305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</row>
    <row r="18" ht="15.75" customHeight="1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305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</row>
    <row r="19" ht="15.75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305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</row>
    <row r="20" ht="15.75" customHeigh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305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</row>
    <row r="21" ht="15.75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305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</row>
    <row r="22" ht="15.75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305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</row>
    <row r="23" ht="15.75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305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</row>
    <row r="24" ht="15.75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305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</row>
    <row r="25" ht="15.75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305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</row>
    <row r="26" ht="15.75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305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</row>
    <row r="27" ht="15.75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305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</row>
    <row r="28" ht="15.75" customHeight="1">
      <c r="A28" s="146"/>
      <c r="B28" s="134"/>
      <c r="C28" s="134"/>
      <c r="D28" s="134"/>
      <c r="E28" s="134"/>
      <c r="F28" s="134"/>
      <c r="G28" s="134"/>
      <c r="H28" s="134"/>
      <c r="I28" s="134"/>
      <c r="J28" s="134"/>
      <c r="K28" s="306"/>
      <c r="L28" s="306"/>
      <c r="M28" s="134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8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</row>
    <row r="29" ht="15.75" customHeight="1">
      <c r="A29" s="146"/>
      <c r="B29" s="134"/>
      <c r="C29" s="134"/>
      <c r="D29" s="134"/>
      <c r="E29" s="134"/>
      <c r="F29" s="134"/>
      <c r="G29" s="134"/>
      <c r="H29" s="134"/>
      <c r="I29" s="134"/>
      <c r="J29" s="134"/>
      <c r="K29" s="306"/>
      <c r="L29" s="306"/>
      <c r="M29" s="134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8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</row>
    <row r="30" ht="15.75" customHeight="1">
      <c r="A30" s="146"/>
      <c r="B30" s="134"/>
      <c r="C30" s="134"/>
      <c r="D30" s="134"/>
      <c r="E30" s="134"/>
      <c r="F30" s="134"/>
      <c r="G30" s="134"/>
      <c r="H30" s="134"/>
      <c r="I30" s="134"/>
      <c r="J30" s="134"/>
      <c r="K30" s="306"/>
      <c r="L30" s="306"/>
      <c r="M30" s="134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8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</row>
    <row r="31" ht="15.75" customHeight="1">
      <c r="A31" s="146"/>
      <c r="B31" s="134"/>
      <c r="C31" s="134"/>
      <c r="D31" s="134"/>
      <c r="E31" s="134"/>
      <c r="F31" s="134"/>
      <c r="G31" s="134"/>
      <c r="H31" s="134"/>
      <c r="I31" s="134"/>
      <c r="J31" s="134"/>
      <c r="K31" s="306"/>
      <c r="L31" s="306"/>
      <c r="M31" s="134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8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</row>
    <row r="32" ht="15.75" customHeight="1">
      <c r="A32" s="146"/>
      <c r="B32" s="134"/>
      <c r="C32" s="134"/>
      <c r="D32" s="134"/>
      <c r="E32" s="134"/>
      <c r="F32" s="134"/>
      <c r="G32" s="134"/>
      <c r="H32" s="134"/>
      <c r="I32" s="134"/>
      <c r="J32" s="134"/>
      <c r="K32" s="306"/>
      <c r="L32" s="306"/>
      <c r="M32" s="134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8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</row>
    <row r="33" ht="15.75" customHeight="1">
      <c r="A33" s="146"/>
      <c r="B33" s="134"/>
      <c r="C33" s="134"/>
      <c r="D33" s="134"/>
      <c r="E33" s="134"/>
      <c r="F33" s="134"/>
      <c r="G33" s="134"/>
      <c r="H33" s="134"/>
      <c r="I33" s="134"/>
      <c r="J33" s="134"/>
      <c r="K33" s="306"/>
      <c r="L33" s="306"/>
      <c r="M33" s="134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8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</row>
    <row r="34" ht="15.75" customHeight="1">
      <c r="A34" s="146"/>
      <c r="B34" s="134"/>
      <c r="C34" s="134"/>
      <c r="D34" s="134"/>
      <c r="E34" s="134"/>
      <c r="F34" s="134"/>
      <c r="G34" s="134"/>
      <c r="H34" s="134"/>
      <c r="I34" s="134"/>
      <c r="J34" s="134"/>
      <c r="K34" s="306"/>
      <c r="L34" s="306"/>
      <c r="M34" s="134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8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</row>
    <row r="35" ht="15.75" customHeight="1">
      <c r="A35" s="146"/>
      <c r="B35" s="134"/>
      <c r="C35" s="134"/>
      <c r="D35" s="134"/>
      <c r="E35" s="134"/>
      <c r="F35" s="134"/>
      <c r="G35" s="134"/>
      <c r="H35" s="134"/>
      <c r="I35" s="134"/>
      <c r="J35" s="134"/>
      <c r="K35" s="306"/>
      <c r="L35" s="306"/>
      <c r="M35" s="134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8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</row>
    <row r="36" ht="15.75" customHeight="1">
      <c r="A36" s="146"/>
      <c r="B36" s="134"/>
      <c r="C36" s="134"/>
      <c r="D36" s="134"/>
      <c r="E36" s="134"/>
      <c r="F36" s="134"/>
      <c r="G36" s="134"/>
      <c r="H36" s="134"/>
      <c r="I36" s="134"/>
      <c r="J36" s="134"/>
      <c r="K36" s="306"/>
      <c r="L36" s="306"/>
      <c r="M36" s="134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8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</row>
    <row r="37" ht="15.75" customHeight="1">
      <c r="A37" s="146"/>
      <c r="B37" s="134"/>
      <c r="C37" s="134"/>
      <c r="D37" s="134"/>
      <c r="E37" s="134"/>
      <c r="F37" s="134"/>
      <c r="G37" s="134"/>
      <c r="H37" s="134"/>
      <c r="I37" s="134"/>
      <c r="J37" s="134"/>
      <c r="K37" s="306"/>
      <c r="L37" s="306"/>
      <c r="M37" s="134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8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</row>
    <row r="38" ht="15.75" customHeight="1">
      <c r="A38" s="146"/>
      <c r="B38" s="134"/>
      <c r="C38" s="134"/>
      <c r="D38" s="134"/>
      <c r="E38" s="134"/>
      <c r="F38" s="134"/>
      <c r="G38" s="134"/>
      <c r="H38" s="134"/>
      <c r="I38" s="134"/>
      <c r="J38" s="134"/>
      <c r="K38" s="306"/>
      <c r="L38" s="306"/>
      <c r="M38" s="134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8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</row>
    <row r="39" ht="15.75" customHeight="1">
      <c r="A39" s="146"/>
      <c r="B39" s="134"/>
      <c r="C39" s="134"/>
      <c r="D39" s="134"/>
      <c r="E39" s="134"/>
      <c r="F39" s="134"/>
      <c r="G39" s="134"/>
      <c r="H39" s="134"/>
      <c r="I39" s="134"/>
      <c r="J39" s="134"/>
      <c r="K39" s="306"/>
      <c r="L39" s="306"/>
      <c r="M39" s="134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8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</row>
    <row r="40" ht="15.75" customHeight="1">
      <c r="A40" s="146"/>
      <c r="B40" s="134"/>
      <c r="C40" s="134"/>
      <c r="D40" s="134"/>
      <c r="E40" s="134"/>
      <c r="F40" s="134"/>
      <c r="G40" s="134"/>
      <c r="H40" s="134"/>
      <c r="I40" s="134"/>
      <c r="J40" s="134"/>
      <c r="K40" s="306"/>
      <c r="L40" s="306"/>
      <c r="M40" s="134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8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</row>
    <row r="41" ht="15.75" customHeight="1">
      <c r="A41" s="146"/>
      <c r="B41" s="134"/>
      <c r="C41" s="134"/>
      <c r="D41" s="134"/>
      <c r="E41" s="134"/>
      <c r="F41" s="134"/>
      <c r="G41" s="134"/>
      <c r="H41" s="134"/>
      <c r="I41" s="134"/>
      <c r="J41" s="134"/>
      <c r="K41" s="306"/>
      <c r="L41" s="306"/>
      <c r="M41" s="134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8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</row>
    <row r="42" ht="15.75" customHeight="1">
      <c r="A42" s="146"/>
      <c r="B42" s="134"/>
      <c r="C42" s="134"/>
      <c r="D42" s="134"/>
      <c r="E42" s="134"/>
      <c r="F42" s="134"/>
      <c r="G42" s="134"/>
      <c r="H42" s="134"/>
      <c r="I42" s="134"/>
      <c r="J42" s="134"/>
      <c r="K42" s="306"/>
      <c r="L42" s="306"/>
      <c r="M42" s="134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8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</row>
    <row r="43" ht="15.7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306"/>
      <c r="L43" s="306"/>
      <c r="M43" s="134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</row>
    <row r="44" ht="15.7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306"/>
      <c r="L44" s="306"/>
      <c r="M44" s="134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</row>
    <row r="45" ht="15.7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306"/>
      <c r="L45" s="306"/>
      <c r="M45" s="134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</row>
    <row r="46" ht="15.7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306"/>
      <c r="L46" s="306"/>
      <c r="M46" s="134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</row>
    <row r="47" ht="15.7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306"/>
      <c r="L47" s="306"/>
      <c r="M47" s="134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</row>
    <row r="48" ht="15.7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306"/>
      <c r="L48" s="306"/>
      <c r="M48" s="134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</row>
    <row r="49" ht="15.7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306"/>
      <c r="L49" s="306"/>
      <c r="M49" s="134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</row>
    <row r="50" ht="15.7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306"/>
      <c r="L50" s="306"/>
      <c r="M50" s="134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</row>
    <row r="51" ht="15.7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306"/>
      <c r="L51" s="306"/>
      <c r="M51" s="134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</row>
    <row r="52" ht="15.7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306"/>
      <c r="L52" s="306"/>
      <c r="M52" s="134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</row>
    <row r="53" ht="15.7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306"/>
      <c r="L53" s="306"/>
      <c r="M53" s="134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</row>
    <row r="54" ht="15.7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306"/>
      <c r="L54" s="306"/>
      <c r="M54" s="134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</row>
    <row r="55" ht="15.7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306"/>
      <c r="L55" s="306"/>
      <c r="M55" s="134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</row>
    <row r="56" ht="15.7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306"/>
      <c r="L56" s="306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</row>
    <row r="57" ht="15.7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306"/>
      <c r="L57" s="306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</row>
    <row r="58" ht="15.7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307"/>
      <c r="K58" s="309"/>
      <c r="L58" s="307"/>
      <c r="M58" s="307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</row>
    <row r="59" ht="15.7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305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</row>
    <row r="60" ht="15.7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305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</row>
    <row r="61" ht="15.7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305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</row>
    <row r="62" ht="15.7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305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</row>
    <row r="63" ht="15.7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305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</row>
    <row r="64" ht="15.7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305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</row>
    <row r="65" ht="15.7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305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</row>
    <row r="66" ht="15.7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305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</row>
    <row r="67" ht="15.7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305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</row>
    <row r="68" ht="15.7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305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</row>
    <row r="69" ht="15.7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305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</row>
    <row r="70" ht="15.7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305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</row>
    <row r="71" ht="15.7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305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</row>
    <row r="72" ht="15.7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305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</row>
    <row r="73" ht="15.7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305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</row>
    <row r="74" ht="15.7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305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</row>
    <row r="75" ht="15.7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305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</row>
    <row r="76" ht="15.7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305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</row>
    <row r="77" ht="15.7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305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</row>
    <row r="78" ht="15.7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305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</row>
    <row r="79" ht="15.7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305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</row>
    <row r="80" ht="15.7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305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</row>
    <row r="81" ht="15.7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305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</row>
    <row r="82" ht="15.7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305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</row>
    <row r="83" ht="15.7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305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</row>
    <row r="84" ht="15.7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305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</row>
    <row r="85" ht="15.7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305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</row>
    <row r="86" ht="15.7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305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</row>
    <row r="87" ht="15.7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305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  <c r="AN87" s="134"/>
    </row>
    <row r="88" ht="15.7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305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</row>
    <row r="89" ht="15.7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305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</row>
    <row r="90" ht="15.7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305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</row>
    <row r="91" ht="15.7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305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</row>
    <row r="92" ht="15.7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305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</row>
    <row r="93" ht="15.7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305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</row>
    <row r="94" ht="15.7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305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</row>
    <row r="95" ht="15.7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305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</row>
    <row r="96" ht="15.7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305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</row>
    <row r="97" ht="15.7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305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</row>
    <row r="98" ht="15.7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305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</row>
    <row r="99" ht="15.7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305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</row>
    <row r="100" ht="15.7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305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</row>
    <row r="101" ht="15.75" customHeigh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305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310" t="s">
        <v>127</v>
      </c>
      <c r="AD101" s="311" t="s">
        <v>201</v>
      </c>
      <c r="AE101" s="311" t="s">
        <v>129</v>
      </c>
      <c r="AF101" s="311" t="s">
        <v>130</v>
      </c>
      <c r="AG101" s="312" t="s">
        <v>131</v>
      </c>
      <c r="AH101" s="313" t="s">
        <v>132</v>
      </c>
      <c r="AI101" s="314" t="s">
        <v>133</v>
      </c>
      <c r="AJ101" s="315" t="s">
        <v>134</v>
      </c>
      <c r="AK101" s="316" t="s">
        <v>135</v>
      </c>
      <c r="AL101" s="317" t="s">
        <v>136</v>
      </c>
      <c r="AM101" s="317" t="s">
        <v>137</v>
      </c>
      <c r="AN101" s="317" t="s">
        <v>138</v>
      </c>
    </row>
    <row r="102" ht="15.75" customHeigh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305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</row>
    <row r="103" ht="15.75" customHeigh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305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</row>
    <row r="104" ht="15.75" customHeigh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305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</row>
    <row r="105" ht="15.75" customHeigh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305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134"/>
    </row>
    <row r="106" ht="15.75" customHeigh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305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</row>
    <row r="107" ht="15.75" customHeigh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305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</row>
    <row r="108" ht="15.75" customHeigh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305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</row>
    <row r="109" ht="15.75" customHeigh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305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</row>
    <row r="110" ht="15.75" customHeigh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305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</row>
    <row r="111" ht="15.75" customHeigh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305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</row>
    <row r="112" ht="15.75" customHeigh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305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</row>
    <row r="113" ht="15.75" customHeigh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305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</row>
    <row r="114" ht="15.75" customHeigh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305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</row>
    <row r="115" ht="15.75" customHeigh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305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</row>
    <row r="116" ht="15.75" customHeigh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305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</row>
    <row r="117" ht="15.75" customHeigh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305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</row>
    <row r="118" ht="15.75" customHeigh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305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</row>
    <row r="119" ht="15.75" customHeigh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305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</row>
    <row r="120" ht="15.75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305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134"/>
    </row>
    <row r="121" ht="15.75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305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</row>
    <row r="122" ht="15.75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305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  <c r="AN122" s="134"/>
    </row>
    <row r="123" ht="15.75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305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</row>
    <row r="124" ht="15.75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305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  <c r="AN124" s="134"/>
    </row>
    <row r="125" ht="15.75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305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  <c r="AN125" s="134"/>
    </row>
    <row r="126" ht="15.75" customHeigh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305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</row>
    <row r="127" ht="15.75" customHeigh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305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</row>
    <row r="128" ht="15.75" customHeigh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305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  <c r="AN128" s="134"/>
    </row>
    <row r="129" ht="15.75" customHeigh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305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</row>
    <row r="130" ht="15.75" customHeigh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305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  <c r="AN130" s="134"/>
    </row>
    <row r="131" ht="15.75" customHeigh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305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</row>
    <row r="132" ht="15.75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305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</row>
    <row r="133" ht="15.75" customHeigh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305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</row>
    <row r="134" ht="15.75" customHeigh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305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  <c r="AN134" s="134"/>
    </row>
    <row r="135" ht="15.75" customHeigh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305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</row>
    <row r="136" ht="15.75" customHeigh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305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  <c r="AN136" s="134"/>
    </row>
    <row r="137" ht="15.75" customHeigh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305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  <c r="AN137" s="134"/>
    </row>
    <row r="138" ht="15.75" customHeigh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305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  <c r="AN138" s="134"/>
    </row>
    <row r="139" ht="15.75" customHeigh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305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</row>
    <row r="140" ht="15.75" customHeigh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305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  <c r="AN140" s="134"/>
    </row>
    <row r="141" ht="15.75" customHeigh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305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  <c r="AN141" s="134"/>
    </row>
    <row r="142" ht="15.75" customHeigh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305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  <c r="AN142" s="134"/>
    </row>
    <row r="143" ht="15.75" customHeigh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305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</row>
    <row r="144" ht="15.75" customHeigh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305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  <c r="AN144" s="134"/>
    </row>
    <row r="145" ht="15.75" customHeigh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305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</row>
    <row r="146" ht="15.75" customHeigh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305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  <c r="AN146" s="134"/>
    </row>
    <row r="147" ht="15.75" customHeigh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305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</row>
    <row r="148" ht="15.75" customHeigh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305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  <c r="AN148" s="134"/>
    </row>
    <row r="149" ht="15.75" customHeigh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305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</row>
    <row r="150" ht="15.75" customHeigh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305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</row>
    <row r="151" ht="15.75" customHeigh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305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</row>
    <row r="152" ht="15.75" customHeigh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305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</row>
    <row r="153" ht="15.75" customHeigh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305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</row>
    <row r="154" ht="15.75" customHeigh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305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</row>
    <row r="155" ht="15.75" customHeigh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305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</row>
    <row r="156" ht="15.75" customHeigh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305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</row>
    <row r="157" ht="15.75" customHeigh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305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</row>
    <row r="158" ht="15.75" customHeigh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305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</row>
    <row r="159" ht="15.75" customHeigh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305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</row>
    <row r="160" ht="15.75" customHeigh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305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  <c r="AN160" s="134"/>
    </row>
    <row r="161" ht="15.75" customHeigh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305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</row>
    <row r="162" ht="15.75" customHeigh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305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  <c r="AN162" s="134"/>
    </row>
    <row r="163" ht="15.75" customHeigh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305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</row>
    <row r="164" ht="15.75" customHeigh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305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  <c r="AN164" s="134"/>
    </row>
    <row r="165" ht="15.75" customHeigh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305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  <c r="AN165" s="134"/>
    </row>
    <row r="166" ht="15.75" customHeigh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305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</row>
    <row r="167" ht="15.75" customHeigh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305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  <c r="AN167" s="134"/>
    </row>
    <row r="168" ht="15.75" customHeigh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305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  <c r="AN168" s="134"/>
    </row>
    <row r="169" ht="15.75" customHeigh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305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</row>
    <row r="170" ht="15.75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305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</row>
    <row r="171" ht="15.75" customHeigh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305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  <c r="AN171" s="134"/>
    </row>
    <row r="172" ht="15.75" customHeigh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305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  <c r="AN172" s="134"/>
    </row>
    <row r="173" ht="15.75" customHeigh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305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  <c r="AN173" s="134"/>
    </row>
    <row r="174" ht="15.75" customHeigh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305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  <c r="AN174" s="134"/>
    </row>
    <row r="175" ht="15.75" customHeigh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305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</row>
    <row r="176" ht="15.75" customHeigh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305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  <c r="AN176" s="134"/>
    </row>
    <row r="177" ht="15.75" customHeigh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305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  <c r="AN177" s="134"/>
    </row>
    <row r="178" ht="15.75" customHeigh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305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134"/>
    </row>
    <row r="179" ht="15.75" customHeigh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305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  <c r="AN179" s="134"/>
    </row>
    <row r="180" ht="15.75" customHeigh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305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  <c r="AN180" s="134"/>
    </row>
    <row r="181" ht="15.75" customHeigh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305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  <c r="AN181" s="134"/>
    </row>
    <row r="182" ht="15.75" customHeigh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305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  <c r="AN182" s="134"/>
    </row>
    <row r="183" ht="15.75" customHeigh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305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  <c r="AN183" s="134"/>
    </row>
    <row r="184" ht="15.75" customHeigh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305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</row>
    <row r="185" ht="15.75" customHeigh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305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</row>
    <row r="186" ht="15.75" customHeigh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305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</row>
    <row r="187" ht="15.75" customHeigh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305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</row>
    <row r="188" ht="15.75" customHeigh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305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  <c r="AN188" s="134"/>
    </row>
    <row r="189" ht="15.75" customHeigh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305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</row>
    <row r="190" ht="15.75" customHeigh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305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  <c r="AN190" s="134"/>
    </row>
    <row r="191" ht="15.75" customHeigh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305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  <c r="AN191" s="134"/>
    </row>
    <row r="192" ht="15.75" customHeigh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305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</row>
    <row r="193" ht="15.75" customHeigh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305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</row>
    <row r="194" ht="15.75" customHeigh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305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  <c r="AN194" s="134"/>
    </row>
    <row r="195" ht="15.75" customHeigh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305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</row>
    <row r="196" ht="15.75" customHeigh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305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</row>
    <row r="197" ht="15.75" customHeigh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305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</row>
    <row r="198" ht="15.75" customHeigh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305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</row>
    <row r="199" ht="15.75" customHeigh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305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  <c r="AN199" s="134"/>
    </row>
    <row r="200" ht="15.75" customHeigh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305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</row>
    <row r="201" ht="15.75" customHeigh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305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  <c r="AN201" s="134"/>
    </row>
    <row r="202" ht="15.75" customHeigh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305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</row>
    <row r="203" ht="15.75" customHeigh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305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  <c r="AN203" s="134"/>
    </row>
    <row r="204" ht="15.75" customHeigh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305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</row>
    <row r="205" ht="15.75" customHeigh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305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  <c r="AN205" s="134"/>
    </row>
    <row r="206" ht="15.75" customHeigh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305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  <c r="AN206" s="134"/>
    </row>
    <row r="207" ht="15.75" customHeigh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305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  <c r="AN207" s="134"/>
    </row>
    <row r="208" ht="15.75" customHeigh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305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  <c r="AN208" s="134"/>
    </row>
    <row r="209" ht="15.75" customHeigh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305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  <c r="AN209" s="134"/>
    </row>
    <row r="210" ht="15.75" customHeigh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305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  <c r="AN210" s="134"/>
    </row>
    <row r="211" ht="15.75" customHeigh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305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  <c r="AN211" s="134"/>
    </row>
    <row r="212" ht="15.75" customHeigh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305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</row>
    <row r="213" ht="15.75" customHeigh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305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  <c r="AN213" s="134"/>
    </row>
    <row r="214" ht="15.75" customHeigh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305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  <c r="AN214" s="134"/>
    </row>
    <row r="215" ht="15.75" customHeigh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305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  <c r="AN215" s="134"/>
    </row>
    <row r="216" ht="15.75" customHeigh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305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  <c r="AN216" s="134"/>
    </row>
    <row r="217" ht="15.75" customHeigh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305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  <c r="AN217" s="134"/>
    </row>
    <row r="218" ht="15.75" customHeigh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305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  <c r="AN218" s="134"/>
    </row>
    <row r="219" ht="15.75" customHeigh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305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  <c r="AN219" s="134"/>
    </row>
    <row r="220" ht="15.75" customHeigh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305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  <c r="AN220" s="134"/>
    </row>
    <row r="221" ht="15.75" customHeigh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305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  <c r="AN221" s="134"/>
    </row>
    <row r="222" ht="15.75" customHeigh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305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  <c r="AN222" s="134"/>
    </row>
    <row r="223" ht="15.75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305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  <c r="AN223" s="134"/>
    </row>
    <row r="224" ht="15.75" customHeigh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305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  <c r="AN224" s="134"/>
    </row>
    <row r="225" ht="15.75" customHeigh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305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  <c r="AN225" s="134"/>
    </row>
    <row r="226" ht="15.75" customHeigh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305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  <c r="AN226" s="134"/>
    </row>
    <row r="227" ht="15.75" customHeigh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305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  <c r="AN227" s="134"/>
    </row>
    <row r="228" ht="15.75" customHeigh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305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  <c r="AN228" s="134"/>
    </row>
    <row r="229" ht="15.7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305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  <c r="AN229" s="134"/>
    </row>
    <row r="230" ht="15.7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305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  <c r="AN230" s="134"/>
    </row>
    <row r="231" ht="15.7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305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  <c r="AN231" s="134"/>
    </row>
    <row r="232" ht="15.7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305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  <c r="AN232" s="134"/>
    </row>
    <row r="233" ht="15.7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305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  <c r="AN233" s="134"/>
    </row>
    <row r="234" ht="15.75" customHeigh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305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  <c r="AN234" s="134"/>
    </row>
    <row r="235" ht="15.75" customHeigh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305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  <c r="AN235" s="134"/>
    </row>
    <row r="236" ht="15.75" customHeigh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305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  <c r="AN236" s="134"/>
    </row>
    <row r="237" ht="15.75" customHeigh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305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  <c r="AN237" s="134"/>
    </row>
    <row r="238" ht="15.75" customHeigh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305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  <c r="AN238" s="134"/>
    </row>
    <row r="239" ht="15.75" customHeigh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305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  <c r="AN239" s="134"/>
    </row>
    <row r="240" ht="15.75" customHeigh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305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  <c r="AN240" s="134"/>
    </row>
    <row r="241" ht="15.75" customHeigh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305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  <c r="AN241" s="134"/>
    </row>
    <row r="242" ht="15.75" customHeigh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305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  <c r="AN242" s="134"/>
    </row>
    <row r="243" ht="15.75" customHeigh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305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  <c r="AN243" s="134"/>
    </row>
    <row r="244" ht="15.75" customHeigh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305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  <c r="AN244" s="134"/>
    </row>
    <row r="245" ht="15.75" customHeigh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305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</row>
    <row r="246" ht="15.75" customHeigh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305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</row>
    <row r="247" ht="15.75" customHeigh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305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  <c r="AN247" s="134"/>
    </row>
    <row r="248" ht="15.75" customHeigh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305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  <c r="AN248" s="134"/>
    </row>
    <row r="249" ht="15.75" customHeigh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305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  <c r="AN249" s="134"/>
    </row>
    <row r="250" ht="15.75" customHeigh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305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  <c r="AN250" s="134"/>
    </row>
    <row r="251" ht="15.75" customHeigh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305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</row>
    <row r="252" ht="15.75" customHeigh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305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</row>
    <row r="253" ht="15.75" customHeigh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305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</row>
    <row r="254" ht="15.75" customHeigh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305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</row>
    <row r="255" ht="15.75" customHeigh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305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</row>
    <row r="256" ht="15.75" customHeigh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305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</row>
    <row r="257" ht="15.75" customHeigh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305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</row>
    <row r="258" ht="15.75" customHeigh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305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</row>
    <row r="259" ht="15.75" customHeigh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305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  <c r="AN259" s="134"/>
    </row>
    <row r="260" ht="15.75" customHeigh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305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</row>
    <row r="261" ht="15.75" customHeigh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305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</row>
    <row r="262" ht="15.75" customHeigh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305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</row>
    <row r="263" ht="15.75" customHeigh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305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</row>
    <row r="264" ht="15.75" customHeigh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305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4"/>
      <c r="AK264" s="134"/>
      <c r="AL264" s="134"/>
      <c r="AM264" s="134"/>
      <c r="AN264" s="134"/>
    </row>
    <row r="265" ht="15.75" customHeigh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305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  <c r="AF265" s="134"/>
      <c r="AG265" s="134"/>
      <c r="AH265" s="134"/>
      <c r="AI265" s="134"/>
      <c r="AJ265" s="134"/>
      <c r="AK265" s="134"/>
      <c r="AL265" s="134"/>
      <c r="AM265" s="134"/>
      <c r="AN265" s="134"/>
    </row>
    <row r="266" ht="15.75" customHeigh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305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4"/>
      <c r="AK266" s="134"/>
      <c r="AL266" s="134"/>
      <c r="AM266" s="134"/>
      <c r="AN266" s="134"/>
    </row>
    <row r="267" ht="15.75" customHeigh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305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4"/>
      <c r="AL267" s="134"/>
      <c r="AM267" s="134"/>
      <c r="AN267" s="134"/>
    </row>
    <row r="268" ht="15.75" customHeigh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305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4"/>
      <c r="AL268" s="134"/>
      <c r="AM268" s="134"/>
      <c r="AN268" s="134"/>
    </row>
    <row r="269" ht="15.75" customHeigh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305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4"/>
      <c r="AK269" s="134"/>
      <c r="AL269" s="134"/>
      <c r="AM269" s="134"/>
      <c r="AN269" s="134"/>
    </row>
    <row r="270" ht="15.75" customHeigh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305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4"/>
      <c r="AK270" s="134"/>
      <c r="AL270" s="134"/>
      <c r="AM270" s="134"/>
      <c r="AN270" s="134"/>
    </row>
    <row r="271" ht="15.75" customHeigh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305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  <c r="AN271" s="134"/>
    </row>
    <row r="272" ht="15.75" customHeigh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305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  <c r="AN272" s="134"/>
    </row>
    <row r="273" ht="15.75" customHeigh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305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  <c r="AF273" s="134"/>
      <c r="AG273" s="134"/>
      <c r="AH273" s="134"/>
      <c r="AI273" s="134"/>
      <c r="AJ273" s="134"/>
      <c r="AK273" s="134"/>
      <c r="AL273" s="134"/>
      <c r="AM273" s="134"/>
      <c r="AN273" s="134"/>
    </row>
    <row r="274" ht="15.75" customHeigh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305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  <c r="AF274" s="134"/>
      <c r="AG274" s="134"/>
      <c r="AH274" s="134"/>
      <c r="AI274" s="134"/>
      <c r="AJ274" s="134"/>
      <c r="AK274" s="134"/>
      <c r="AL274" s="134"/>
      <c r="AM274" s="134"/>
      <c r="AN274" s="134"/>
    </row>
    <row r="275" ht="15.75" customHeigh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305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134"/>
      <c r="AI275" s="134"/>
      <c r="AJ275" s="134"/>
      <c r="AK275" s="134"/>
      <c r="AL275" s="134"/>
      <c r="AM275" s="134"/>
      <c r="AN275" s="134"/>
    </row>
    <row r="276" ht="15.75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305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34"/>
      <c r="AI276" s="134"/>
      <c r="AJ276" s="134"/>
      <c r="AK276" s="134"/>
      <c r="AL276" s="134"/>
      <c r="AM276" s="134"/>
      <c r="AN276" s="134"/>
    </row>
    <row r="277" ht="15.75" customHeigh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305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  <c r="AE277" s="134"/>
      <c r="AF277" s="134"/>
      <c r="AG277" s="134"/>
      <c r="AH277" s="134"/>
      <c r="AI277" s="134"/>
      <c r="AJ277" s="134"/>
      <c r="AK277" s="134"/>
      <c r="AL277" s="134"/>
      <c r="AM277" s="134"/>
      <c r="AN277" s="134"/>
    </row>
    <row r="278" ht="15.75" customHeigh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305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4"/>
      <c r="AI278" s="134"/>
      <c r="AJ278" s="134"/>
      <c r="AK278" s="134"/>
      <c r="AL278" s="134"/>
      <c r="AM278" s="134"/>
      <c r="AN278" s="134"/>
    </row>
    <row r="279" ht="15.75" customHeigh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305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134"/>
      <c r="AM279" s="134"/>
      <c r="AN279" s="134"/>
    </row>
    <row r="280" ht="15.75" customHeigh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305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  <c r="AF280" s="134"/>
      <c r="AG280" s="134"/>
      <c r="AH280" s="134"/>
      <c r="AI280" s="134"/>
      <c r="AJ280" s="134"/>
      <c r="AK280" s="134"/>
      <c r="AL280" s="134"/>
      <c r="AM280" s="134"/>
      <c r="AN280" s="134"/>
    </row>
    <row r="281" ht="15.75" customHeigh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305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4"/>
      <c r="AI281" s="134"/>
      <c r="AJ281" s="134"/>
      <c r="AK281" s="134"/>
      <c r="AL281" s="134"/>
      <c r="AM281" s="134"/>
      <c r="AN281" s="134"/>
    </row>
    <row r="282" ht="15.75" customHeigh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305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4"/>
      <c r="AI282" s="134"/>
      <c r="AJ282" s="134"/>
      <c r="AK282" s="134"/>
      <c r="AL282" s="134"/>
      <c r="AM282" s="134"/>
      <c r="AN282" s="134"/>
    </row>
    <row r="283" ht="15.75" customHeigh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305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4"/>
      <c r="AI283" s="134"/>
      <c r="AJ283" s="134"/>
      <c r="AK283" s="134"/>
      <c r="AL283" s="134"/>
      <c r="AM283" s="134"/>
      <c r="AN283" s="134"/>
    </row>
    <row r="284" ht="15.75" customHeigh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305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4"/>
      <c r="AI284" s="134"/>
      <c r="AJ284" s="134"/>
      <c r="AK284" s="134"/>
      <c r="AL284" s="134"/>
      <c r="AM284" s="134"/>
      <c r="AN284" s="134"/>
    </row>
    <row r="285" ht="15.75" customHeigh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305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4"/>
      <c r="AI285" s="134"/>
      <c r="AJ285" s="134"/>
      <c r="AK285" s="134"/>
      <c r="AL285" s="134"/>
      <c r="AM285" s="134"/>
      <c r="AN285" s="134"/>
    </row>
    <row r="286" ht="15.75" customHeigh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305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4"/>
      <c r="AI286" s="134"/>
      <c r="AJ286" s="134"/>
      <c r="AK286" s="134"/>
      <c r="AL286" s="134"/>
      <c r="AM286" s="134"/>
      <c r="AN286" s="134"/>
    </row>
    <row r="287" ht="15.75" customHeigh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305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4"/>
      <c r="AI287" s="134"/>
      <c r="AJ287" s="134"/>
      <c r="AK287" s="134"/>
      <c r="AL287" s="134"/>
      <c r="AM287" s="134"/>
      <c r="AN287" s="134"/>
    </row>
    <row r="288" ht="15.75" customHeigh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305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4"/>
      <c r="AI288" s="134"/>
      <c r="AJ288" s="134"/>
      <c r="AK288" s="134"/>
      <c r="AL288" s="134"/>
      <c r="AM288" s="134"/>
      <c r="AN288" s="134"/>
    </row>
    <row r="289" ht="15.75" customHeigh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305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134"/>
      <c r="AM289" s="134"/>
      <c r="AN289" s="134"/>
    </row>
    <row r="290" ht="15.75" customHeigh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305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134"/>
      <c r="AL290" s="134"/>
      <c r="AM290" s="134"/>
      <c r="AN290" s="134"/>
    </row>
    <row r="291" ht="15.75" customHeigh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305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134"/>
      <c r="AM291" s="134"/>
      <c r="AN291" s="134"/>
    </row>
    <row r="292" ht="15.75" customHeigh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305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134"/>
      <c r="AM292" s="134"/>
      <c r="AN292" s="134"/>
    </row>
    <row r="293" ht="15.75" customHeigh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305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  <c r="AN293" s="134"/>
    </row>
    <row r="294" ht="15.75" customHeigh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305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134"/>
      <c r="AM294" s="134"/>
      <c r="AN294" s="134"/>
    </row>
    <row r="295" ht="15.75" customHeigh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305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134"/>
      <c r="AM295" s="134"/>
      <c r="AN295" s="134"/>
    </row>
    <row r="296" ht="15.75" customHeigh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305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  <c r="AF296" s="134"/>
      <c r="AG296" s="134"/>
      <c r="AH296" s="134"/>
      <c r="AI296" s="134"/>
      <c r="AJ296" s="134"/>
      <c r="AK296" s="134"/>
      <c r="AL296" s="134"/>
      <c r="AM296" s="134"/>
      <c r="AN296" s="134"/>
    </row>
    <row r="297" ht="15.75" customHeigh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305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4"/>
      <c r="AK297" s="134"/>
      <c r="AL297" s="134"/>
      <c r="AM297" s="134"/>
      <c r="AN297" s="134"/>
    </row>
    <row r="298" ht="15.75" customHeigh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305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134"/>
      <c r="AM298" s="134"/>
      <c r="AN298" s="134"/>
    </row>
    <row r="299" ht="15.75" customHeigh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305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134"/>
      <c r="AM299" s="134"/>
      <c r="AN299" s="134"/>
    </row>
    <row r="300" ht="15.75" customHeigh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305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  <c r="AF300" s="134"/>
      <c r="AG300" s="134"/>
      <c r="AH300" s="134"/>
      <c r="AI300" s="134"/>
      <c r="AJ300" s="134"/>
      <c r="AK300" s="134"/>
      <c r="AL300" s="134"/>
      <c r="AM300" s="134"/>
      <c r="AN300" s="134"/>
    </row>
    <row r="301" ht="15.75" customHeigh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305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134"/>
      <c r="AM301" s="134"/>
      <c r="AN301" s="134"/>
    </row>
    <row r="302" ht="15.75" customHeigh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305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134"/>
      <c r="AM302" s="134"/>
      <c r="AN302" s="134"/>
    </row>
    <row r="303" ht="15.75" customHeigh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305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134"/>
      <c r="AM303" s="134"/>
      <c r="AN303" s="134"/>
    </row>
    <row r="304" ht="15.75" customHeight="1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305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4"/>
      <c r="AI304" s="134"/>
      <c r="AJ304" s="134"/>
      <c r="AK304" s="134"/>
      <c r="AL304" s="134"/>
      <c r="AM304" s="134"/>
      <c r="AN304" s="134"/>
    </row>
    <row r="305" ht="15.75" customHeight="1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305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4"/>
      <c r="AI305" s="134"/>
      <c r="AJ305" s="134"/>
      <c r="AK305" s="134"/>
      <c r="AL305" s="134"/>
      <c r="AM305" s="134"/>
      <c r="AN305" s="134"/>
    </row>
    <row r="306" ht="15.75" customHeight="1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305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4"/>
      <c r="AK306" s="134"/>
      <c r="AL306" s="134"/>
      <c r="AM306" s="134"/>
      <c r="AN306" s="134"/>
    </row>
    <row r="307" ht="15.75" customHeight="1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305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4"/>
      <c r="AI307" s="134"/>
      <c r="AJ307" s="134"/>
      <c r="AK307" s="134"/>
      <c r="AL307" s="134"/>
      <c r="AM307" s="134"/>
      <c r="AN307" s="134"/>
    </row>
    <row r="308" ht="15.75" customHeight="1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305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4"/>
      <c r="AI308" s="134"/>
      <c r="AJ308" s="134"/>
      <c r="AK308" s="134"/>
      <c r="AL308" s="134"/>
      <c r="AM308" s="134"/>
      <c r="AN308" s="134"/>
    </row>
    <row r="309" ht="15.75" customHeight="1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305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  <c r="AE309" s="134"/>
      <c r="AF309" s="134"/>
      <c r="AG309" s="134"/>
      <c r="AH309" s="134"/>
      <c r="AI309" s="134"/>
      <c r="AJ309" s="134"/>
      <c r="AK309" s="134"/>
      <c r="AL309" s="134"/>
      <c r="AM309" s="134"/>
      <c r="AN309" s="134"/>
    </row>
    <row r="310" ht="15.75" customHeight="1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305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  <c r="AE310" s="134"/>
      <c r="AF310" s="134"/>
      <c r="AG310" s="134"/>
      <c r="AH310" s="134"/>
      <c r="AI310" s="134"/>
      <c r="AJ310" s="134"/>
      <c r="AK310" s="134"/>
      <c r="AL310" s="134"/>
      <c r="AM310" s="134"/>
      <c r="AN310" s="134"/>
    </row>
    <row r="311" ht="15.75" customHeight="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305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  <c r="AE311" s="134"/>
      <c r="AF311" s="134"/>
      <c r="AG311" s="134"/>
      <c r="AH311" s="134"/>
      <c r="AI311" s="134"/>
      <c r="AJ311" s="134"/>
      <c r="AK311" s="134"/>
      <c r="AL311" s="134"/>
      <c r="AM311" s="134"/>
      <c r="AN311" s="134"/>
    </row>
    <row r="312" ht="15.75" customHeight="1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305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  <c r="AE312" s="134"/>
      <c r="AF312" s="134"/>
      <c r="AG312" s="134"/>
      <c r="AH312" s="134"/>
      <c r="AI312" s="134"/>
      <c r="AJ312" s="134"/>
      <c r="AK312" s="134"/>
      <c r="AL312" s="134"/>
      <c r="AM312" s="134"/>
      <c r="AN312" s="134"/>
    </row>
    <row r="313" ht="15.75" customHeight="1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305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4"/>
      <c r="AI313" s="134"/>
      <c r="AJ313" s="134"/>
      <c r="AK313" s="134"/>
      <c r="AL313" s="134"/>
      <c r="AM313" s="134"/>
      <c r="AN313" s="134"/>
    </row>
    <row r="314" ht="15.75" customHeight="1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305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  <c r="AE314" s="134"/>
      <c r="AF314" s="134"/>
      <c r="AG314" s="134"/>
      <c r="AH314" s="134"/>
      <c r="AI314" s="134"/>
      <c r="AJ314" s="134"/>
      <c r="AK314" s="134"/>
      <c r="AL314" s="134"/>
      <c r="AM314" s="134"/>
      <c r="AN314" s="134"/>
    </row>
    <row r="315" ht="15.75" customHeight="1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305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  <c r="AE315" s="134"/>
      <c r="AF315" s="134"/>
      <c r="AG315" s="134"/>
      <c r="AH315" s="134"/>
      <c r="AI315" s="134"/>
      <c r="AJ315" s="134"/>
      <c r="AK315" s="134"/>
      <c r="AL315" s="134"/>
      <c r="AM315" s="134"/>
      <c r="AN315" s="134"/>
    </row>
    <row r="316" ht="15.75" customHeight="1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305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  <c r="AE316" s="134"/>
      <c r="AF316" s="134"/>
      <c r="AG316" s="134"/>
      <c r="AH316" s="134"/>
      <c r="AI316" s="134"/>
      <c r="AJ316" s="134"/>
      <c r="AK316" s="134"/>
      <c r="AL316" s="134"/>
      <c r="AM316" s="134"/>
      <c r="AN316" s="134"/>
    </row>
    <row r="317" ht="15.75" customHeight="1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305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134"/>
      <c r="AG317" s="134"/>
      <c r="AH317" s="134"/>
      <c r="AI317" s="134"/>
      <c r="AJ317" s="134"/>
      <c r="AK317" s="134"/>
      <c r="AL317" s="134"/>
      <c r="AM317" s="134"/>
      <c r="AN317" s="134"/>
    </row>
    <row r="318" ht="15.75" customHeight="1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305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34"/>
      <c r="AG318" s="134"/>
      <c r="AH318" s="134"/>
      <c r="AI318" s="134"/>
      <c r="AJ318" s="134"/>
      <c r="AK318" s="134"/>
      <c r="AL318" s="134"/>
      <c r="AM318" s="134"/>
      <c r="AN318" s="134"/>
    </row>
    <row r="319" ht="15.75" customHeight="1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305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34"/>
      <c r="AG319" s="134"/>
      <c r="AH319" s="134"/>
      <c r="AI319" s="134"/>
      <c r="AJ319" s="134"/>
      <c r="AK319" s="134"/>
      <c r="AL319" s="134"/>
      <c r="AM319" s="134"/>
      <c r="AN319" s="134"/>
    </row>
    <row r="320" ht="15.75" customHeight="1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305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34"/>
      <c r="AG320" s="134"/>
      <c r="AH320" s="134"/>
      <c r="AI320" s="134"/>
      <c r="AJ320" s="134"/>
      <c r="AK320" s="134"/>
      <c r="AL320" s="134"/>
      <c r="AM320" s="134"/>
      <c r="AN320" s="134"/>
    </row>
    <row r="321" ht="15.75" customHeight="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305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4"/>
      <c r="AI321" s="134"/>
      <c r="AJ321" s="134"/>
      <c r="AK321" s="134"/>
      <c r="AL321" s="134"/>
      <c r="AM321" s="134"/>
      <c r="AN321" s="134"/>
    </row>
    <row r="322" ht="15.75" customHeight="1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305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4"/>
      <c r="AI322" s="134"/>
      <c r="AJ322" s="134"/>
      <c r="AK322" s="134"/>
      <c r="AL322" s="134"/>
      <c r="AM322" s="134"/>
      <c r="AN322" s="134"/>
    </row>
    <row r="323" ht="15.75" customHeight="1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305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4"/>
      <c r="AK323" s="134"/>
      <c r="AL323" s="134"/>
      <c r="AM323" s="134"/>
      <c r="AN323" s="134"/>
    </row>
    <row r="324" ht="15.75" customHeight="1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305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4"/>
      <c r="AL324" s="134"/>
      <c r="AM324" s="134"/>
      <c r="AN324" s="134"/>
    </row>
    <row r="325" ht="15.75" customHeight="1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305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  <c r="AN325" s="134"/>
    </row>
    <row r="326" ht="15.75" customHeight="1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305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4"/>
      <c r="AM326" s="134"/>
      <c r="AN326" s="134"/>
    </row>
    <row r="327" ht="15.75" customHeight="1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305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4"/>
      <c r="AM327" s="134"/>
      <c r="AN327" s="134"/>
    </row>
    <row r="328" ht="15.75" customHeight="1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305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  <c r="AN328" s="134"/>
    </row>
    <row r="329" ht="15.75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305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4"/>
      <c r="AM329" s="134"/>
      <c r="AN329" s="134"/>
    </row>
    <row r="330" ht="15.75" customHeight="1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305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4"/>
      <c r="AM330" s="134"/>
      <c r="AN330" s="134"/>
    </row>
    <row r="331" ht="15.75" customHeight="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305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4"/>
      <c r="AM331" s="134"/>
      <c r="AN331" s="134"/>
    </row>
    <row r="332" ht="15.75" customHeight="1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305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4"/>
      <c r="AM332" s="134"/>
      <c r="AN332" s="134"/>
    </row>
    <row r="333" ht="15.75" customHeight="1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305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4"/>
      <c r="AM333" s="134"/>
      <c r="AN333" s="134"/>
    </row>
    <row r="334" ht="15.75" customHeight="1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305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134"/>
      <c r="AM334" s="134"/>
      <c r="AN334" s="134"/>
    </row>
    <row r="335" ht="15.75" customHeight="1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305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134"/>
      <c r="AM335" s="134"/>
      <c r="AN335" s="134"/>
    </row>
    <row r="336" ht="15.75" customHeight="1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305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134"/>
      <c r="AM336" s="134"/>
      <c r="AN336" s="134"/>
    </row>
    <row r="337" ht="15.75" customHeight="1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305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  <c r="AF337" s="134"/>
      <c r="AG337" s="134"/>
      <c r="AH337" s="134"/>
      <c r="AI337" s="134"/>
      <c r="AJ337" s="134"/>
      <c r="AK337" s="134"/>
      <c r="AL337" s="134"/>
      <c r="AM337" s="134"/>
      <c r="AN337" s="134"/>
    </row>
    <row r="338" ht="15.75" customHeight="1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305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  <c r="AF338" s="134"/>
      <c r="AG338" s="134"/>
      <c r="AH338" s="134"/>
      <c r="AI338" s="134"/>
      <c r="AJ338" s="134"/>
      <c r="AK338" s="134"/>
      <c r="AL338" s="134"/>
      <c r="AM338" s="134"/>
      <c r="AN338" s="134"/>
    </row>
    <row r="339" ht="15.75" customHeight="1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305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134"/>
      <c r="AM339" s="134"/>
      <c r="AN339" s="134"/>
    </row>
    <row r="340" ht="15.75" customHeight="1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305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  <c r="AF340" s="134"/>
      <c r="AG340" s="134"/>
      <c r="AH340" s="134"/>
      <c r="AI340" s="134"/>
      <c r="AJ340" s="134"/>
      <c r="AK340" s="134"/>
      <c r="AL340" s="134"/>
      <c r="AM340" s="134"/>
      <c r="AN340" s="134"/>
    </row>
    <row r="341" ht="15.75" customHeight="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305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  <c r="AF341" s="134"/>
      <c r="AG341" s="134"/>
      <c r="AH341" s="134"/>
      <c r="AI341" s="134"/>
      <c r="AJ341" s="134"/>
      <c r="AK341" s="134"/>
      <c r="AL341" s="134"/>
      <c r="AM341" s="134"/>
      <c r="AN341" s="134"/>
    </row>
    <row r="342" ht="15.75" customHeight="1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305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  <c r="AE342" s="134"/>
      <c r="AF342" s="134"/>
      <c r="AG342" s="134"/>
      <c r="AH342" s="134"/>
      <c r="AI342" s="134"/>
      <c r="AJ342" s="134"/>
      <c r="AK342" s="134"/>
      <c r="AL342" s="134"/>
      <c r="AM342" s="134"/>
      <c r="AN342" s="134"/>
    </row>
    <row r="343" ht="15.75" customHeight="1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305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34"/>
      <c r="AF343" s="134"/>
      <c r="AG343" s="134"/>
      <c r="AH343" s="134"/>
      <c r="AI343" s="134"/>
      <c r="AJ343" s="134"/>
      <c r="AK343" s="134"/>
      <c r="AL343" s="134"/>
      <c r="AM343" s="134"/>
      <c r="AN343" s="134"/>
    </row>
    <row r="344" ht="15.75" customHeight="1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305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  <c r="AE344" s="134"/>
      <c r="AF344" s="134"/>
      <c r="AG344" s="134"/>
      <c r="AH344" s="134"/>
      <c r="AI344" s="134"/>
      <c r="AJ344" s="134"/>
      <c r="AK344" s="134"/>
      <c r="AL344" s="134"/>
      <c r="AM344" s="134"/>
      <c r="AN344" s="134"/>
    </row>
    <row r="345" ht="15.75" customHeight="1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305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134"/>
      <c r="AM345" s="134"/>
      <c r="AN345" s="134"/>
    </row>
    <row r="346" ht="15.75" customHeight="1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305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4"/>
      <c r="AI346" s="134"/>
      <c r="AJ346" s="134"/>
      <c r="AK346" s="134"/>
      <c r="AL346" s="134"/>
      <c r="AM346" s="134"/>
      <c r="AN346" s="134"/>
    </row>
    <row r="347" ht="15.75" customHeight="1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305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  <c r="AF347" s="134"/>
      <c r="AG347" s="134"/>
      <c r="AH347" s="134"/>
      <c r="AI347" s="134"/>
      <c r="AJ347" s="134"/>
      <c r="AK347" s="134"/>
      <c r="AL347" s="134"/>
      <c r="AM347" s="134"/>
      <c r="AN347" s="134"/>
    </row>
    <row r="348" ht="15.75" customHeight="1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305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  <c r="AF348" s="134"/>
      <c r="AG348" s="134"/>
      <c r="AH348" s="134"/>
      <c r="AI348" s="134"/>
      <c r="AJ348" s="134"/>
      <c r="AK348" s="134"/>
      <c r="AL348" s="134"/>
      <c r="AM348" s="134"/>
      <c r="AN348" s="134"/>
    </row>
    <row r="349" ht="15.75" customHeight="1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305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  <c r="AF349" s="134"/>
      <c r="AG349" s="134"/>
      <c r="AH349" s="134"/>
      <c r="AI349" s="134"/>
      <c r="AJ349" s="134"/>
      <c r="AK349" s="134"/>
      <c r="AL349" s="134"/>
      <c r="AM349" s="134"/>
      <c r="AN349" s="134"/>
    </row>
    <row r="350" ht="15.75" customHeight="1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305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  <c r="AF350" s="134"/>
      <c r="AG350" s="134"/>
      <c r="AH350" s="134"/>
      <c r="AI350" s="134"/>
      <c r="AJ350" s="134"/>
      <c r="AK350" s="134"/>
      <c r="AL350" s="134"/>
      <c r="AM350" s="134"/>
      <c r="AN350" s="134"/>
    </row>
    <row r="351" ht="15.75" customHeight="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305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4"/>
      <c r="AI351" s="134"/>
      <c r="AJ351" s="134"/>
      <c r="AK351" s="134"/>
      <c r="AL351" s="134"/>
      <c r="AM351" s="134"/>
      <c r="AN351" s="134"/>
    </row>
    <row r="352" ht="15.75" customHeight="1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305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  <c r="AF352" s="134"/>
      <c r="AG352" s="134"/>
      <c r="AH352" s="134"/>
      <c r="AI352" s="134"/>
      <c r="AJ352" s="134"/>
      <c r="AK352" s="134"/>
      <c r="AL352" s="134"/>
      <c r="AM352" s="134"/>
      <c r="AN352" s="134"/>
    </row>
    <row r="353" ht="15.75" customHeight="1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305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  <c r="AF353" s="134"/>
      <c r="AG353" s="134"/>
      <c r="AH353" s="134"/>
      <c r="AI353" s="134"/>
      <c r="AJ353" s="134"/>
      <c r="AK353" s="134"/>
      <c r="AL353" s="134"/>
      <c r="AM353" s="134"/>
      <c r="AN353" s="134"/>
    </row>
    <row r="354" ht="15.75" customHeight="1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305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  <c r="AF354" s="134"/>
      <c r="AG354" s="134"/>
      <c r="AH354" s="134"/>
      <c r="AI354" s="134"/>
      <c r="AJ354" s="134"/>
      <c r="AK354" s="134"/>
      <c r="AL354" s="134"/>
      <c r="AM354" s="134"/>
      <c r="AN354" s="134"/>
    </row>
    <row r="355" ht="15.75" customHeight="1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305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  <c r="AF355" s="134"/>
      <c r="AG355" s="134"/>
      <c r="AH355" s="134"/>
      <c r="AI355" s="134"/>
      <c r="AJ355" s="134"/>
      <c r="AK355" s="134"/>
      <c r="AL355" s="134"/>
      <c r="AM355" s="134"/>
      <c r="AN355" s="134"/>
    </row>
    <row r="356" ht="15.75" customHeight="1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305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  <c r="AF356" s="134"/>
      <c r="AG356" s="134"/>
      <c r="AH356" s="134"/>
      <c r="AI356" s="134"/>
      <c r="AJ356" s="134"/>
      <c r="AK356" s="134"/>
      <c r="AL356" s="134"/>
      <c r="AM356" s="134"/>
      <c r="AN356" s="134"/>
    </row>
    <row r="357" ht="15.75" customHeight="1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305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  <c r="AF357" s="134"/>
      <c r="AG357" s="134"/>
      <c r="AH357" s="134"/>
      <c r="AI357" s="134"/>
      <c r="AJ357" s="134"/>
      <c r="AK357" s="134"/>
      <c r="AL357" s="134"/>
      <c r="AM357" s="134"/>
      <c r="AN357" s="134"/>
    </row>
    <row r="358" ht="15.75" customHeight="1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305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  <c r="AF358" s="134"/>
      <c r="AG358" s="134"/>
      <c r="AH358" s="134"/>
      <c r="AI358" s="134"/>
      <c r="AJ358" s="134"/>
      <c r="AK358" s="134"/>
      <c r="AL358" s="134"/>
      <c r="AM358" s="134"/>
      <c r="AN358" s="134"/>
    </row>
    <row r="359" ht="15.75" customHeight="1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305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  <c r="AF359" s="134"/>
      <c r="AG359" s="134"/>
      <c r="AH359" s="134"/>
      <c r="AI359" s="134"/>
      <c r="AJ359" s="134"/>
      <c r="AK359" s="134"/>
      <c r="AL359" s="134"/>
      <c r="AM359" s="134"/>
      <c r="AN359" s="134"/>
    </row>
    <row r="360" ht="15.75" customHeight="1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305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4"/>
      <c r="AK360" s="134"/>
      <c r="AL360" s="134"/>
      <c r="AM360" s="134"/>
      <c r="AN360" s="134"/>
    </row>
    <row r="361" ht="15.75" customHeight="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305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  <c r="AF361" s="134"/>
      <c r="AG361" s="134"/>
      <c r="AH361" s="134"/>
      <c r="AI361" s="134"/>
      <c r="AJ361" s="134"/>
      <c r="AK361" s="134"/>
      <c r="AL361" s="134"/>
      <c r="AM361" s="134"/>
      <c r="AN361" s="134"/>
    </row>
    <row r="362" ht="15.75" customHeight="1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305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  <c r="AF362" s="134"/>
      <c r="AG362" s="134"/>
      <c r="AH362" s="134"/>
      <c r="AI362" s="134"/>
      <c r="AJ362" s="134"/>
      <c r="AK362" s="134"/>
      <c r="AL362" s="134"/>
      <c r="AM362" s="134"/>
      <c r="AN362" s="134"/>
    </row>
    <row r="363" ht="15.75" customHeight="1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305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  <c r="AF363" s="134"/>
      <c r="AG363" s="134"/>
      <c r="AH363" s="134"/>
      <c r="AI363" s="134"/>
      <c r="AJ363" s="134"/>
      <c r="AK363" s="134"/>
      <c r="AL363" s="134"/>
      <c r="AM363" s="134"/>
      <c r="AN363" s="134"/>
    </row>
    <row r="364" ht="15.75" customHeight="1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305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  <c r="AF364" s="134"/>
      <c r="AG364" s="134"/>
      <c r="AH364" s="134"/>
      <c r="AI364" s="134"/>
      <c r="AJ364" s="134"/>
      <c r="AK364" s="134"/>
      <c r="AL364" s="134"/>
      <c r="AM364" s="134"/>
      <c r="AN364" s="134"/>
    </row>
    <row r="365" ht="15.75" customHeight="1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305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  <c r="AF365" s="134"/>
      <c r="AG365" s="134"/>
      <c r="AH365" s="134"/>
      <c r="AI365" s="134"/>
      <c r="AJ365" s="134"/>
      <c r="AK365" s="134"/>
      <c r="AL365" s="134"/>
      <c r="AM365" s="134"/>
      <c r="AN365" s="134"/>
    </row>
    <row r="366" ht="15.75" customHeight="1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305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  <c r="AF366" s="134"/>
      <c r="AG366" s="134"/>
      <c r="AH366" s="134"/>
      <c r="AI366" s="134"/>
      <c r="AJ366" s="134"/>
      <c r="AK366" s="134"/>
      <c r="AL366" s="134"/>
      <c r="AM366" s="134"/>
      <c r="AN366" s="134"/>
    </row>
    <row r="367" ht="15.75" customHeight="1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305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4"/>
      <c r="AK367" s="134"/>
      <c r="AL367" s="134"/>
      <c r="AM367" s="134"/>
      <c r="AN367" s="134"/>
    </row>
    <row r="368" ht="15.75" customHeight="1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305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  <c r="AF368" s="134"/>
      <c r="AG368" s="134"/>
      <c r="AH368" s="134"/>
      <c r="AI368" s="134"/>
      <c r="AJ368" s="134"/>
      <c r="AK368" s="134"/>
      <c r="AL368" s="134"/>
      <c r="AM368" s="134"/>
      <c r="AN368" s="134"/>
    </row>
    <row r="369" ht="15.75" customHeight="1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305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  <c r="AF369" s="134"/>
      <c r="AG369" s="134"/>
      <c r="AH369" s="134"/>
      <c r="AI369" s="134"/>
      <c r="AJ369" s="134"/>
      <c r="AK369" s="134"/>
      <c r="AL369" s="134"/>
      <c r="AM369" s="134"/>
      <c r="AN369" s="134"/>
    </row>
    <row r="370" ht="15.75" customHeight="1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305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  <c r="AF370" s="134"/>
      <c r="AG370" s="134"/>
      <c r="AH370" s="134"/>
      <c r="AI370" s="134"/>
      <c r="AJ370" s="134"/>
      <c r="AK370" s="134"/>
      <c r="AL370" s="134"/>
      <c r="AM370" s="134"/>
      <c r="AN370" s="134"/>
    </row>
    <row r="371" ht="15.75" customHeight="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305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  <c r="AF371" s="134"/>
      <c r="AG371" s="134"/>
      <c r="AH371" s="134"/>
      <c r="AI371" s="134"/>
      <c r="AJ371" s="134"/>
      <c r="AK371" s="134"/>
      <c r="AL371" s="134"/>
      <c r="AM371" s="134"/>
      <c r="AN371" s="134"/>
    </row>
    <row r="372" ht="15.75" customHeight="1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305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4"/>
      <c r="AI372" s="134"/>
      <c r="AJ372" s="134"/>
      <c r="AK372" s="134"/>
      <c r="AL372" s="134"/>
      <c r="AM372" s="134"/>
      <c r="AN372" s="134"/>
    </row>
    <row r="373" ht="15.75" customHeight="1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305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4"/>
      <c r="AK373" s="134"/>
      <c r="AL373" s="134"/>
      <c r="AM373" s="134"/>
      <c r="AN373" s="134"/>
    </row>
    <row r="374" ht="15.75" customHeight="1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305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4"/>
      <c r="AI374" s="134"/>
      <c r="AJ374" s="134"/>
      <c r="AK374" s="134"/>
      <c r="AL374" s="134"/>
      <c r="AM374" s="134"/>
      <c r="AN374" s="134"/>
    </row>
    <row r="375" ht="15.75" customHeight="1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305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  <c r="AF375" s="134"/>
      <c r="AG375" s="134"/>
      <c r="AH375" s="134"/>
      <c r="AI375" s="134"/>
      <c r="AJ375" s="134"/>
      <c r="AK375" s="134"/>
      <c r="AL375" s="134"/>
      <c r="AM375" s="134"/>
      <c r="AN375" s="134"/>
    </row>
    <row r="376" ht="15.75" customHeight="1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305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  <c r="AF376" s="134"/>
      <c r="AG376" s="134"/>
      <c r="AH376" s="134"/>
      <c r="AI376" s="134"/>
      <c r="AJ376" s="134"/>
      <c r="AK376" s="134"/>
      <c r="AL376" s="134"/>
      <c r="AM376" s="134"/>
      <c r="AN376" s="134"/>
    </row>
    <row r="377" ht="15.75" customHeight="1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305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4"/>
      <c r="AK377" s="134"/>
      <c r="AL377" s="134"/>
      <c r="AM377" s="134"/>
      <c r="AN377" s="134"/>
    </row>
    <row r="378" ht="15.75" customHeight="1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305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  <c r="AF378" s="134"/>
      <c r="AG378" s="134"/>
      <c r="AH378" s="134"/>
      <c r="AI378" s="134"/>
      <c r="AJ378" s="134"/>
      <c r="AK378" s="134"/>
      <c r="AL378" s="134"/>
      <c r="AM378" s="134"/>
      <c r="AN378" s="134"/>
    </row>
    <row r="379" ht="15.75" customHeight="1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305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4"/>
      <c r="AK379" s="134"/>
      <c r="AL379" s="134"/>
      <c r="AM379" s="134"/>
      <c r="AN379" s="134"/>
    </row>
    <row r="380" ht="15.75" customHeight="1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305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  <c r="AF380" s="134"/>
      <c r="AG380" s="134"/>
      <c r="AH380" s="134"/>
      <c r="AI380" s="134"/>
      <c r="AJ380" s="134"/>
      <c r="AK380" s="134"/>
      <c r="AL380" s="134"/>
      <c r="AM380" s="134"/>
      <c r="AN380" s="134"/>
    </row>
    <row r="381" ht="15.75" customHeight="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305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  <c r="AF381" s="134"/>
      <c r="AG381" s="134"/>
      <c r="AH381" s="134"/>
      <c r="AI381" s="134"/>
      <c r="AJ381" s="134"/>
      <c r="AK381" s="134"/>
      <c r="AL381" s="134"/>
      <c r="AM381" s="134"/>
      <c r="AN381" s="134"/>
    </row>
    <row r="382" ht="15.75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305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34"/>
      <c r="AI382" s="134"/>
      <c r="AJ382" s="134"/>
      <c r="AK382" s="134"/>
      <c r="AL382" s="134"/>
      <c r="AM382" s="134"/>
      <c r="AN382" s="134"/>
    </row>
    <row r="383" ht="15.75" customHeight="1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305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  <c r="AF383" s="134"/>
      <c r="AG383" s="134"/>
      <c r="AH383" s="134"/>
      <c r="AI383" s="134"/>
      <c r="AJ383" s="134"/>
      <c r="AK383" s="134"/>
      <c r="AL383" s="134"/>
      <c r="AM383" s="134"/>
      <c r="AN383" s="134"/>
    </row>
    <row r="384" ht="15.75" customHeight="1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305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  <c r="AF384" s="134"/>
      <c r="AG384" s="134"/>
      <c r="AH384" s="134"/>
      <c r="AI384" s="134"/>
      <c r="AJ384" s="134"/>
      <c r="AK384" s="134"/>
      <c r="AL384" s="134"/>
      <c r="AM384" s="134"/>
      <c r="AN384" s="134"/>
    </row>
    <row r="385" ht="15.75" customHeight="1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305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  <c r="AF385" s="134"/>
      <c r="AG385" s="134"/>
      <c r="AH385" s="134"/>
      <c r="AI385" s="134"/>
      <c r="AJ385" s="134"/>
      <c r="AK385" s="134"/>
      <c r="AL385" s="134"/>
      <c r="AM385" s="134"/>
      <c r="AN385" s="134"/>
    </row>
    <row r="386" ht="15.75" customHeight="1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305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  <c r="AF386" s="134"/>
      <c r="AG386" s="134"/>
      <c r="AH386" s="134"/>
      <c r="AI386" s="134"/>
      <c r="AJ386" s="134"/>
      <c r="AK386" s="134"/>
      <c r="AL386" s="134"/>
      <c r="AM386" s="134"/>
      <c r="AN386" s="134"/>
    </row>
    <row r="387" ht="15.75" customHeight="1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305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  <c r="AF387" s="134"/>
      <c r="AG387" s="134"/>
      <c r="AH387" s="134"/>
      <c r="AI387" s="134"/>
      <c r="AJ387" s="134"/>
      <c r="AK387" s="134"/>
      <c r="AL387" s="134"/>
      <c r="AM387" s="134"/>
      <c r="AN387" s="134"/>
    </row>
    <row r="388" ht="15.75" customHeight="1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305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  <c r="AF388" s="134"/>
      <c r="AG388" s="134"/>
      <c r="AH388" s="134"/>
      <c r="AI388" s="134"/>
      <c r="AJ388" s="134"/>
      <c r="AK388" s="134"/>
      <c r="AL388" s="134"/>
      <c r="AM388" s="134"/>
      <c r="AN388" s="134"/>
    </row>
    <row r="389" ht="15.75" customHeight="1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305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  <c r="AF389" s="134"/>
      <c r="AG389" s="134"/>
      <c r="AH389" s="134"/>
      <c r="AI389" s="134"/>
      <c r="AJ389" s="134"/>
      <c r="AK389" s="134"/>
      <c r="AL389" s="134"/>
      <c r="AM389" s="134"/>
      <c r="AN389" s="134"/>
    </row>
    <row r="390" ht="15.75" customHeight="1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305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  <c r="AF390" s="134"/>
      <c r="AG390" s="134"/>
      <c r="AH390" s="134"/>
      <c r="AI390" s="134"/>
      <c r="AJ390" s="134"/>
      <c r="AK390" s="134"/>
      <c r="AL390" s="134"/>
      <c r="AM390" s="134"/>
      <c r="AN390" s="134"/>
    </row>
    <row r="391" ht="15.75" customHeight="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305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4"/>
      <c r="AJ391" s="134"/>
      <c r="AK391" s="134"/>
      <c r="AL391" s="134"/>
      <c r="AM391" s="134"/>
      <c r="AN391" s="134"/>
    </row>
    <row r="392" ht="15.75" customHeight="1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305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  <c r="AF392" s="134"/>
      <c r="AG392" s="134"/>
      <c r="AH392" s="134"/>
      <c r="AI392" s="134"/>
      <c r="AJ392" s="134"/>
      <c r="AK392" s="134"/>
      <c r="AL392" s="134"/>
      <c r="AM392" s="134"/>
      <c r="AN392" s="134"/>
    </row>
    <row r="393" ht="15.75" customHeight="1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305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  <c r="AF393" s="134"/>
      <c r="AG393" s="134"/>
      <c r="AH393" s="134"/>
      <c r="AI393" s="134"/>
      <c r="AJ393" s="134"/>
      <c r="AK393" s="134"/>
      <c r="AL393" s="134"/>
      <c r="AM393" s="134"/>
      <c r="AN393" s="134"/>
    </row>
    <row r="394" ht="15.75" customHeight="1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305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  <c r="AF394" s="134"/>
      <c r="AG394" s="134"/>
      <c r="AH394" s="134"/>
      <c r="AI394" s="134"/>
      <c r="AJ394" s="134"/>
      <c r="AK394" s="134"/>
      <c r="AL394" s="134"/>
      <c r="AM394" s="134"/>
      <c r="AN394" s="134"/>
    </row>
    <row r="395" ht="15.75" customHeight="1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305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  <c r="AF395" s="134"/>
      <c r="AG395" s="134"/>
      <c r="AH395" s="134"/>
      <c r="AI395" s="134"/>
      <c r="AJ395" s="134"/>
      <c r="AK395" s="134"/>
      <c r="AL395" s="134"/>
      <c r="AM395" s="134"/>
      <c r="AN395" s="134"/>
    </row>
    <row r="396" ht="15.75" customHeight="1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305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  <c r="AM396" s="134"/>
      <c r="AN396" s="134"/>
    </row>
    <row r="397" ht="15.75" customHeight="1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305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  <c r="AM397" s="134"/>
      <c r="AN397" s="134"/>
    </row>
    <row r="398" ht="15.75" customHeight="1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305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  <c r="AF398" s="134"/>
      <c r="AG398" s="134"/>
      <c r="AH398" s="134"/>
      <c r="AI398" s="134"/>
      <c r="AJ398" s="134"/>
      <c r="AK398" s="134"/>
      <c r="AL398" s="134"/>
      <c r="AM398" s="134"/>
      <c r="AN398" s="134"/>
    </row>
    <row r="399" ht="15.75" customHeight="1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305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  <c r="AF399" s="134"/>
      <c r="AG399" s="134"/>
      <c r="AH399" s="134"/>
      <c r="AI399" s="134"/>
      <c r="AJ399" s="134"/>
      <c r="AK399" s="134"/>
      <c r="AL399" s="134"/>
      <c r="AM399" s="134"/>
      <c r="AN399" s="134"/>
    </row>
    <row r="400" ht="15.75" customHeight="1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305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  <c r="AF400" s="134"/>
      <c r="AG400" s="134"/>
      <c r="AH400" s="134"/>
      <c r="AI400" s="134"/>
      <c r="AJ400" s="134"/>
      <c r="AK400" s="134"/>
      <c r="AL400" s="134"/>
      <c r="AM400" s="134"/>
      <c r="AN400" s="134"/>
    </row>
    <row r="401" ht="15.75" customHeight="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305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  <c r="AF401" s="134"/>
      <c r="AG401" s="134"/>
      <c r="AH401" s="134"/>
      <c r="AI401" s="134"/>
      <c r="AJ401" s="134"/>
      <c r="AK401" s="134"/>
      <c r="AL401" s="134"/>
      <c r="AM401" s="134"/>
      <c r="AN401" s="134"/>
    </row>
    <row r="402" ht="15.75" customHeight="1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305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  <c r="AF402" s="134"/>
      <c r="AG402" s="134"/>
      <c r="AH402" s="134"/>
      <c r="AI402" s="134"/>
      <c r="AJ402" s="134"/>
      <c r="AK402" s="134"/>
      <c r="AL402" s="134"/>
      <c r="AM402" s="134"/>
      <c r="AN402" s="134"/>
    </row>
    <row r="403" ht="15.75" customHeight="1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305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  <c r="AE403" s="134"/>
      <c r="AF403" s="134"/>
      <c r="AG403" s="134"/>
      <c r="AH403" s="134"/>
      <c r="AI403" s="134"/>
      <c r="AJ403" s="134"/>
      <c r="AK403" s="134"/>
      <c r="AL403" s="134"/>
      <c r="AM403" s="134"/>
      <c r="AN403" s="134"/>
    </row>
    <row r="404" ht="15.75" customHeight="1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305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  <c r="AF404" s="134"/>
      <c r="AG404" s="134"/>
      <c r="AH404" s="134"/>
      <c r="AI404" s="134"/>
      <c r="AJ404" s="134"/>
      <c r="AK404" s="134"/>
      <c r="AL404" s="134"/>
      <c r="AM404" s="134"/>
      <c r="AN404" s="134"/>
    </row>
    <row r="405" ht="15.75" customHeight="1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305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  <c r="AE405" s="134"/>
      <c r="AF405" s="134"/>
      <c r="AG405" s="134"/>
      <c r="AH405" s="134"/>
      <c r="AI405" s="134"/>
      <c r="AJ405" s="134"/>
      <c r="AK405" s="134"/>
      <c r="AL405" s="134"/>
      <c r="AM405" s="134"/>
      <c r="AN405" s="134"/>
    </row>
    <row r="406" ht="15.75" customHeight="1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305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  <c r="AN406" s="134"/>
    </row>
    <row r="407" ht="15.75" customHeight="1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305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  <c r="AF407" s="134"/>
      <c r="AG407" s="134"/>
      <c r="AH407" s="134"/>
      <c r="AI407" s="134"/>
      <c r="AJ407" s="134"/>
      <c r="AK407" s="134"/>
      <c r="AL407" s="134"/>
      <c r="AM407" s="134"/>
      <c r="AN407" s="134"/>
    </row>
    <row r="408" ht="15.75" customHeight="1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305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  <c r="AF408" s="134"/>
      <c r="AG408" s="134"/>
      <c r="AH408" s="134"/>
      <c r="AI408" s="134"/>
      <c r="AJ408" s="134"/>
      <c r="AK408" s="134"/>
      <c r="AL408" s="134"/>
      <c r="AM408" s="134"/>
      <c r="AN408" s="134"/>
    </row>
    <row r="409" ht="15.75" customHeight="1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305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  <c r="AF409" s="134"/>
      <c r="AG409" s="134"/>
      <c r="AH409" s="134"/>
      <c r="AI409" s="134"/>
      <c r="AJ409" s="134"/>
      <c r="AK409" s="134"/>
      <c r="AL409" s="134"/>
      <c r="AM409" s="134"/>
      <c r="AN409" s="134"/>
    </row>
    <row r="410" ht="15.75" customHeight="1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305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  <c r="AF410" s="134"/>
      <c r="AG410" s="134"/>
      <c r="AH410" s="134"/>
      <c r="AI410" s="134"/>
      <c r="AJ410" s="134"/>
      <c r="AK410" s="134"/>
      <c r="AL410" s="134"/>
      <c r="AM410" s="134"/>
      <c r="AN410" s="134"/>
    </row>
    <row r="411" ht="15.75" customHeight="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305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  <c r="AF411" s="134"/>
      <c r="AG411" s="134"/>
      <c r="AH411" s="134"/>
      <c r="AI411" s="134"/>
      <c r="AJ411" s="134"/>
      <c r="AK411" s="134"/>
      <c r="AL411" s="134"/>
      <c r="AM411" s="134"/>
      <c r="AN411" s="134"/>
    </row>
    <row r="412" ht="15.75" customHeight="1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305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  <c r="AF412" s="134"/>
      <c r="AG412" s="134"/>
      <c r="AH412" s="134"/>
      <c r="AI412" s="134"/>
      <c r="AJ412" s="134"/>
      <c r="AK412" s="134"/>
      <c r="AL412" s="134"/>
      <c r="AM412" s="134"/>
      <c r="AN412" s="134"/>
    </row>
    <row r="413" ht="15.75" customHeight="1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305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  <c r="AF413" s="134"/>
      <c r="AG413" s="134"/>
      <c r="AH413" s="134"/>
      <c r="AI413" s="134"/>
      <c r="AJ413" s="134"/>
      <c r="AK413" s="134"/>
      <c r="AL413" s="134"/>
      <c r="AM413" s="134"/>
      <c r="AN413" s="134"/>
    </row>
    <row r="414" ht="15.75" customHeight="1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305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  <c r="AM414" s="134"/>
      <c r="AN414" s="134"/>
    </row>
    <row r="415" ht="15.75" customHeight="1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305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  <c r="AM415" s="134"/>
      <c r="AN415" s="134"/>
    </row>
    <row r="416" ht="15.75" customHeight="1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305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4"/>
      <c r="AI416" s="134"/>
      <c r="AJ416" s="134"/>
      <c r="AK416" s="134"/>
      <c r="AL416" s="134"/>
      <c r="AM416" s="134"/>
      <c r="AN416" s="134"/>
    </row>
    <row r="417" ht="15.75" customHeight="1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305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4"/>
      <c r="AI417" s="134"/>
      <c r="AJ417" s="134"/>
      <c r="AK417" s="134"/>
      <c r="AL417" s="134"/>
      <c r="AM417" s="134"/>
      <c r="AN417" s="134"/>
    </row>
    <row r="418" ht="15.75" customHeight="1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305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  <c r="AF418" s="134"/>
      <c r="AG418" s="134"/>
      <c r="AH418" s="134"/>
      <c r="AI418" s="134"/>
      <c r="AJ418" s="134"/>
      <c r="AK418" s="134"/>
      <c r="AL418" s="134"/>
      <c r="AM418" s="134"/>
      <c r="AN418" s="134"/>
    </row>
    <row r="419" ht="15.75" customHeight="1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305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  <c r="AF419" s="134"/>
      <c r="AG419" s="134"/>
      <c r="AH419" s="134"/>
      <c r="AI419" s="134"/>
      <c r="AJ419" s="134"/>
      <c r="AK419" s="134"/>
      <c r="AL419" s="134"/>
      <c r="AM419" s="134"/>
      <c r="AN419" s="134"/>
    </row>
    <row r="420" ht="15.75" customHeight="1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305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  <c r="AF420" s="134"/>
      <c r="AG420" s="134"/>
      <c r="AH420" s="134"/>
      <c r="AI420" s="134"/>
      <c r="AJ420" s="134"/>
      <c r="AK420" s="134"/>
      <c r="AL420" s="134"/>
      <c r="AM420" s="134"/>
      <c r="AN420" s="134"/>
    </row>
    <row r="421" ht="15.75" customHeight="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305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  <c r="AF421" s="134"/>
      <c r="AG421" s="134"/>
      <c r="AH421" s="134"/>
      <c r="AI421" s="134"/>
      <c r="AJ421" s="134"/>
      <c r="AK421" s="134"/>
      <c r="AL421" s="134"/>
      <c r="AM421" s="134"/>
      <c r="AN421" s="134"/>
    </row>
    <row r="422" ht="15.75" customHeight="1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305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  <c r="AF422" s="134"/>
      <c r="AG422" s="134"/>
      <c r="AH422" s="134"/>
      <c r="AI422" s="134"/>
      <c r="AJ422" s="134"/>
      <c r="AK422" s="134"/>
      <c r="AL422" s="134"/>
      <c r="AM422" s="134"/>
      <c r="AN422" s="134"/>
    </row>
    <row r="423" ht="15.75" customHeight="1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305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  <c r="AN423" s="134"/>
    </row>
    <row r="424" ht="15.75" customHeight="1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305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  <c r="AF424" s="134"/>
      <c r="AG424" s="134"/>
      <c r="AH424" s="134"/>
      <c r="AI424" s="134"/>
      <c r="AJ424" s="134"/>
      <c r="AK424" s="134"/>
      <c r="AL424" s="134"/>
      <c r="AM424" s="134"/>
      <c r="AN424" s="134"/>
    </row>
    <row r="425" ht="15.75" customHeight="1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305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  <c r="AF425" s="134"/>
      <c r="AG425" s="134"/>
      <c r="AH425" s="134"/>
      <c r="AI425" s="134"/>
      <c r="AJ425" s="134"/>
      <c r="AK425" s="134"/>
      <c r="AL425" s="134"/>
      <c r="AM425" s="134"/>
      <c r="AN425" s="134"/>
    </row>
    <row r="426" ht="15.75" customHeight="1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305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  <c r="AJ426" s="134"/>
      <c r="AK426" s="134"/>
      <c r="AL426" s="134"/>
      <c r="AM426" s="134"/>
      <c r="AN426" s="134"/>
    </row>
    <row r="427" ht="15.75" customHeight="1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305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  <c r="AF427" s="134"/>
      <c r="AG427" s="134"/>
      <c r="AH427" s="134"/>
      <c r="AI427" s="134"/>
      <c r="AJ427" s="134"/>
      <c r="AK427" s="134"/>
      <c r="AL427" s="134"/>
      <c r="AM427" s="134"/>
      <c r="AN427" s="134"/>
    </row>
    <row r="428" ht="15.75" customHeight="1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305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  <c r="AF428" s="134"/>
      <c r="AG428" s="134"/>
      <c r="AH428" s="134"/>
      <c r="AI428" s="134"/>
      <c r="AJ428" s="134"/>
      <c r="AK428" s="134"/>
      <c r="AL428" s="134"/>
      <c r="AM428" s="134"/>
      <c r="AN428" s="134"/>
    </row>
    <row r="429" ht="15.75" customHeight="1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305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  <c r="AF429" s="134"/>
      <c r="AG429" s="134"/>
      <c r="AH429" s="134"/>
      <c r="AI429" s="134"/>
      <c r="AJ429" s="134"/>
      <c r="AK429" s="134"/>
      <c r="AL429" s="134"/>
      <c r="AM429" s="134"/>
      <c r="AN429" s="134"/>
    </row>
    <row r="430" ht="15.75" customHeight="1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305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  <c r="AF430" s="134"/>
      <c r="AG430" s="134"/>
      <c r="AH430" s="134"/>
      <c r="AI430" s="134"/>
      <c r="AJ430" s="134"/>
      <c r="AK430" s="134"/>
      <c r="AL430" s="134"/>
      <c r="AM430" s="134"/>
      <c r="AN430" s="134"/>
    </row>
    <row r="431" ht="15.75" customHeight="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305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4"/>
      <c r="AI431" s="134"/>
      <c r="AJ431" s="134"/>
      <c r="AK431" s="134"/>
      <c r="AL431" s="134"/>
      <c r="AM431" s="134"/>
      <c r="AN431" s="134"/>
    </row>
    <row r="432" ht="15.75" customHeight="1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305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  <c r="AF432" s="134"/>
      <c r="AG432" s="134"/>
      <c r="AH432" s="134"/>
      <c r="AI432" s="134"/>
      <c r="AJ432" s="134"/>
      <c r="AK432" s="134"/>
      <c r="AL432" s="134"/>
      <c r="AM432" s="134"/>
      <c r="AN432" s="134"/>
    </row>
    <row r="433" ht="15.75" customHeight="1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305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  <c r="AF433" s="134"/>
      <c r="AG433" s="134"/>
      <c r="AH433" s="134"/>
      <c r="AI433" s="134"/>
      <c r="AJ433" s="134"/>
      <c r="AK433" s="134"/>
      <c r="AL433" s="134"/>
      <c r="AM433" s="134"/>
      <c r="AN433" s="134"/>
    </row>
    <row r="434" ht="15.75" customHeight="1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305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  <c r="AF434" s="134"/>
      <c r="AG434" s="134"/>
      <c r="AH434" s="134"/>
      <c r="AI434" s="134"/>
      <c r="AJ434" s="134"/>
      <c r="AK434" s="134"/>
      <c r="AL434" s="134"/>
      <c r="AM434" s="134"/>
      <c r="AN434" s="134"/>
    </row>
    <row r="435" ht="15.75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305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34"/>
      <c r="AI435" s="134"/>
      <c r="AJ435" s="134"/>
      <c r="AK435" s="134"/>
      <c r="AL435" s="134"/>
      <c r="AM435" s="134"/>
      <c r="AN435" s="134"/>
    </row>
    <row r="436" ht="15.75" customHeight="1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305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  <c r="AF436" s="134"/>
      <c r="AG436" s="134"/>
      <c r="AH436" s="134"/>
      <c r="AI436" s="134"/>
      <c r="AJ436" s="134"/>
      <c r="AK436" s="134"/>
      <c r="AL436" s="134"/>
      <c r="AM436" s="134"/>
      <c r="AN436" s="134"/>
    </row>
    <row r="437" ht="15.75" customHeight="1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305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  <c r="AF437" s="134"/>
      <c r="AG437" s="134"/>
      <c r="AH437" s="134"/>
      <c r="AI437" s="134"/>
      <c r="AJ437" s="134"/>
      <c r="AK437" s="134"/>
      <c r="AL437" s="134"/>
      <c r="AM437" s="134"/>
      <c r="AN437" s="134"/>
    </row>
    <row r="438" ht="15.75" customHeight="1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305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  <c r="AF438" s="134"/>
      <c r="AG438" s="134"/>
      <c r="AH438" s="134"/>
      <c r="AI438" s="134"/>
      <c r="AJ438" s="134"/>
      <c r="AK438" s="134"/>
      <c r="AL438" s="134"/>
      <c r="AM438" s="134"/>
      <c r="AN438" s="134"/>
    </row>
    <row r="439" ht="15.75" customHeight="1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305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  <c r="AF439" s="134"/>
      <c r="AG439" s="134"/>
      <c r="AH439" s="134"/>
      <c r="AI439" s="134"/>
      <c r="AJ439" s="134"/>
      <c r="AK439" s="134"/>
      <c r="AL439" s="134"/>
      <c r="AM439" s="134"/>
      <c r="AN439" s="134"/>
    </row>
    <row r="440" ht="15.75" customHeight="1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305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4"/>
      <c r="AI440" s="134"/>
      <c r="AJ440" s="134"/>
      <c r="AK440" s="134"/>
      <c r="AL440" s="134"/>
      <c r="AM440" s="134"/>
      <c r="AN440" s="134"/>
    </row>
    <row r="441" ht="15.75" customHeight="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305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  <c r="AF441" s="134"/>
      <c r="AG441" s="134"/>
      <c r="AH441" s="134"/>
      <c r="AI441" s="134"/>
      <c r="AJ441" s="134"/>
      <c r="AK441" s="134"/>
      <c r="AL441" s="134"/>
      <c r="AM441" s="134"/>
      <c r="AN441" s="134"/>
    </row>
    <row r="442" ht="15.75" customHeight="1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305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  <c r="AF442" s="134"/>
      <c r="AG442" s="134"/>
      <c r="AH442" s="134"/>
      <c r="AI442" s="134"/>
      <c r="AJ442" s="134"/>
      <c r="AK442" s="134"/>
      <c r="AL442" s="134"/>
      <c r="AM442" s="134"/>
      <c r="AN442" s="134"/>
    </row>
    <row r="443" ht="15.75" customHeight="1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305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  <c r="AF443" s="134"/>
      <c r="AG443" s="134"/>
      <c r="AH443" s="134"/>
      <c r="AI443" s="134"/>
      <c r="AJ443" s="134"/>
      <c r="AK443" s="134"/>
      <c r="AL443" s="134"/>
      <c r="AM443" s="134"/>
      <c r="AN443" s="134"/>
    </row>
    <row r="444" ht="15.75" customHeight="1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305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  <c r="AF444" s="134"/>
      <c r="AG444" s="134"/>
      <c r="AH444" s="134"/>
      <c r="AI444" s="134"/>
      <c r="AJ444" s="134"/>
      <c r="AK444" s="134"/>
      <c r="AL444" s="134"/>
      <c r="AM444" s="134"/>
      <c r="AN444" s="134"/>
    </row>
    <row r="445" ht="15.75" customHeight="1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305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4"/>
      <c r="AI445" s="134"/>
      <c r="AJ445" s="134"/>
      <c r="AK445" s="134"/>
      <c r="AL445" s="134"/>
      <c r="AM445" s="134"/>
      <c r="AN445" s="134"/>
    </row>
    <row r="446" ht="15.75" customHeight="1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305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4"/>
      <c r="AK446" s="134"/>
      <c r="AL446" s="134"/>
      <c r="AM446" s="134"/>
      <c r="AN446" s="134"/>
    </row>
    <row r="447" ht="15.75" customHeight="1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305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4"/>
      <c r="AM447" s="134"/>
      <c r="AN447" s="134"/>
    </row>
    <row r="448" ht="15.75" customHeight="1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305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4"/>
      <c r="AI448" s="134"/>
      <c r="AJ448" s="134"/>
      <c r="AK448" s="134"/>
      <c r="AL448" s="134"/>
      <c r="AM448" s="134"/>
      <c r="AN448" s="134"/>
    </row>
    <row r="449" ht="15.75" customHeight="1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305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4"/>
      <c r="AI449" s="134"/>
      <c r="AJ449" s="134"/>
      <c r="AK449" s="134"/>
      <c r="AL449" s="134"/>
      <c r="AM449" s="134"/>
      <c r="AN449" s="134"/>
    </row>
    <row r="450" ht="15.75" customHeight="1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305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  <c r="AN450" s="134"/>
    </row>
    <row r="451" ht="15.75" customHeight="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305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  <c r="AN451" s="134"/>
    </row>
    <row r="452" ht="15.75" customHeight="1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305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  <c r="AN452" s="134"/>
    </row>
    <row r="453" ht="15.75" customHeight="1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305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  <c r="AN453" s="134"/>
    </row>
    <row r="454" ht="15.75" customHeight="1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305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  <c r="AF454" s="134"/>
      <c r="AG454" s="134"/>
      <c r="AH454" s="134"/>
      <c r="AI454" s="134"/>
      <c r="AJ454" s="134"/>
      <c r="AK454" s="134"/>
      <c r="AL454" s="134"/>
      <c r="AM454" s="134"/>
      <c r="AN454" s="134"/>
    </row>
    <row r="455" ht="15.75" customHeight="1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305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4"/>
      <c r="AI455" s="134"/>
      <c r="AJ455" s="134"/>
      <c r="AK455" s="134"/>
      <c r="AL455" s="134"/>
      <c r="AM455" s="134"/>
      <c r="AN455" s="134"/>
    </row>
    <row r="456" ht="15.75" customHeight="1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305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  <c r="AF456" s="134"/>
      <c r="AG456" s="134"/>
      <c r="AH456" s="134"/>
      <c r="AI456" s="134"/>
      <c r="AJ456" s="134"/>
      <c r="AK456" s="134"/>
      <c r="AL456" s="134"/>
      <c r="AM456" s="134"/>
      <c r="AN456" s="134"/>
    </row>
    <row r="457" ht="15.75" customHeight="1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305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  <c r="AF457" s="134"/>
      <c r="AG457" s="134"/>
      <c r="AH457" s="134"/>
      <c r="AI457" s="134"/>
      <c r="AJ457" s="134"/>
      <c r="AK457" s="134"/>
      <c r="AL457" s="134"/>
      <c r="AM457" s="134"/>
      <c r="AN457" s="134"/>
    </row>
    <row r="458" ht="15.75" customHeight="1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305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  <c r="AF458" s="134"/>
      <c r="AG458" s="134"/>
      <c r="AH458" s="134"/>
      <c r="AI458" s="134"/>
      <c r="AJ458" s="134"/>
      <c r="AK458" s="134"/>
      <c r="AL458" s="134"/>
      <c r="AM458" s="134"/>
      <c r="AN458" s="134"/>
    </row>
    <row r="459" ht="15.75" customHeight="1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305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  <c r="AF459" s="134"/>
      <c r="AG459" s="134"/>
      <c r="AH459" s="134"/>
      <c r="AI459" s="134"/>
      <c r="AJ459" s="134"/>
      <c r="AK459" s="134"/>
      <c r="AL459" s="134"/>
      <c r="AM459" s="134"/>
      <c r="AN459" s="134"/>
    </row>
    <row r="460" ht="15.75" customHeight="1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305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  <c r="AF460" s="134"/>
      <c r="AG460" s="134"/>
      <c r="AH460" s="134"/>
      <c r="AI460" s="134"/>
      <c r="AJ460" s="134"/>
      <c r="AK460" s="134"/>
      <c r="AL460" s="134"/>
      <c r="AM460" s="134"/>
      <c r="AN460" s="134"/>
    </row>
    <row r="461" ht="15.75" customHeight="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305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  <c r="AF461" s="134"/>
      <c r="AG461" s="134"/>
      <c r="AH461" s="134"/>
      <c r="AI461" s="134"/>
      <c r="AJ461" s="134"/>
      <c r="AK461" s="134"/>
      <c r="AL461" s="134"/>
      <c r="AM461" s="134"/>
      <c r="AN461" s="134"/>
    </row>
    <row r="462" ht="15.75" customHeigh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305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  <c r="AF462" s="134"/>
      <c r="AG462" s="134"/>
      <c r="AH462" s="134"/>
      <c r="AI462" s="134"/>
      <c r="AJ462" s="134"/>
      <c r="AK462" s="134"/>
      <c r="AL462" s="134"/>
      <c r="AM462" s="134"/>
      <c r="AN462" s="134"/>
    </row>
    <row r="463" ht="15.75" customHeigh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305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  <c r="AF463" s="134"/>
      <c r="AG463" s="134"/>
      <c r="AH463" s="134"/>
      <c r="AI463" s="134"/>
      <c r="AJ463" s="134"/>
      <c r="AK463" s="134"/>
      <c r="AL463" s="134"/>
      <c r="AM463" s="134"/>
      <c r="AN463" s="134"/>
    </row>
    <row r="464" ht="15.75" customHeigh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305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  <c r="AF464" s="134"/>
      <c r="AG464" s="134"/>
      <c r="AH464" s="134"/>
      <c r="AI464" s="134"/>
      <c r="AJ464" s="134"/>
      <c r="AK464" s="134"/>
      <c r="AL464" s="134"/>
      <c r="AM464" s="134"/>
      <c r="AN464" s="134"/>
    </row>
    <row r="465" ht="15.75" customHeigh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305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  <c r="AF465" s="134"/>
      <c r="AG465" s="134"/>
      <c r="AH465" s="134"/>
      <c r="AI465" s="134"/>
      <c r="AJ465" s="134"/>
      <c r="AK465" s="134"/>
      <c r="AL465" s="134"/>
      <c r="AM465" s="134"/>
      <c r="AN465" s="134"/>
    </row>
    <row r="466" ht="15.75" customHeigh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305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  <c r="AF466" s="134"/>
      <c r="AG466" s="134"/>
      <c r="AH466" s="134"/>
      <c r="AI466" s="134"/>
      <c r="AJ466" s="134"/>
      <c r="AK466" s="134"/>
      <c r="AL466" s="134"/>
      <c r="AM466" s="134"/>
      <c r="AN466" s="134"/>
    </row>
    <row r="467" ht="15.75" customHeigh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305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  <c r="AF467" s="134"/>
      <c r="AG467" s="134"/>
      <c r="AH467" s="134"/>
      <c r="AI467" s="134"/>
      <c r="AJ467" s="134"/>
      <c r="AK467" s="134"/>
      <c r="AL467" s="134"/>
      <c r="AM467" s="134"/>
      <c r="AN467" s="134"/>
    </row>
    <row r="468" ht="15.75" customHeigh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305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  <c r="AF468" s="134"/>
      <c r="AG468" s="134"/>
      <c r="AH468" s="134"/>
      <c r="AI468" s="134"/>
      <c r="AJ468" s="134"/>
      <c r="AK468" s="134"/>
      <c r="AL468" s="134"/>
      <c r="AM468" s="134"/>
      <c r="AN468" s="134"/>
    </row>
    <row r="469" ht="15.75" customHeigh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305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  <c r="AF469" s="134"/>
      <c r="AG469" s="134"/>
      <c r="AH469" s="134"/>
      <c r="AI469" s="134"/>
      <c r="AJ469" s="134"/>
      <c r="AK469" s="134"/>
      <c r="AL469" s="134"/>
      <c r="AM469" s="134"/>
      <c r="AN469" s="134"/>
    </row>
    <row r="470" ht="15.75" customHeigh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305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  <c r="AF470" s="134"/>
      <c r="AG470" s="134"/>
      <c r="AH470" s="134"/>
      <c r="AI470" s="134"/>
      <c r="AJ470" s="134"/>
      <c r="AK470" s="134"/>
      <c r="AL470" s="134"/>
      <c r="AM470" s="134"/>
      <c r="AN470" s="134"/>
    </row>
    <row r="471" ht="15.75" customHeigh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305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  <c r="AF471" s="134"/>
      <c r="AG471" s="134"/>
      <c r="AH471" s="134"/>
      <c r="AI471" s="134"/>
      <c r="AJ471" s="134"/>
      <c r="AK471" s="134"/>
      <c r="AL471" s="134"/>
      <c r="AM471" s="134"/>
      <c r="AN471" s="134"/>
    </row>
    <row r="472" ht="15.75" customHeigh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305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  <c r="AF472" s="134"/>
      <c r="AG472" s="134"/>
      <c r="AH472" s="134"/>
      <c r="AI472" s="134"/>
      <c r="AJ472" s="134"/>
      <c r="AK472" s="134"/>
      <c r="AL472" s="134"/>
      <c r="AM472" s="134"/>
      <c r="AN472" s="134"/>
    </row>
    <row r="473" ht="15.75" customHeigh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305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  <c r="AF473" s="134"/>
      <c r="AG473" s="134"/>
      <c r="AH473" s="134"/>
      <c r="AI473" s="134"/>
      <c r="AJ473" s="134"/>
      <c r="AK473" s="134"/>
      <c r="AL473" s="134"/>
      <c r="AM473" s="134"/>
      <c r="AN473" s="134"/>
    </row>
    <row r="474" ht="15.75" customHeigh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305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  <c r="AF474" s="134"/>
      <c r="AG474" s="134"/>
      <c r="AH474" s="134"/>
      <c r="AI474" s="134"/>
      <c r="AJ474" s="134"/>
      <c r="AK474" s="134"/>
      <c r="AL474" s="134"/>
      <c r="AM474" s="134"/>
      <c r="AN474" s="134"/>
    </row>
    <row r="475" ht="15.75" customHeigh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305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  <c r="AF475" s="134"/>
      <c r="AG475" s="134"/>
      <c r="AH475" s="134"/>
      <c r="AI475" s="134"/>
      <c r="AJ475" s="134"/>
      <c r="AK475" s="134"/>
      <c r="AL475" s="134"/>
      <c r="AM475" s="134"/>
      <c r="AN475" s="134"/>
    </row>
    <row r="476" ht="15.75" customHeigh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305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  <c r="AF476" s="134"/>
      <c r="AG476" s="134"/>
      <c r="AH476" s="134"/>
      <c r="AI476" s="134"/>
      <c r="AJ476" s="134"/>
      <c r="AK476" s="134"/>
      <c r="AL476" s="134"/>
      <c r="AM476" s="134"/>
      <c r="AN476" s="134"/>
    </row>
    <row r="477" ht="15.75" customHeigh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305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  <c r="AF477" s="134"/>
      <c r="AG477" s="134"/>
      <c r="AH477" s="134"/>
      <c r="AI477" s="134"/>
      <c r="AJ477" s="134"/>
      <c r="AK477" s="134"/>
      <c r="AL477" s="134"/>
      <c r="AM477" s="134"/>
      <c r="AN477" s="134"/>
    </row>
    <row r="478" ht="15.75" customHeigh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305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  <c r="AF478" s="134"/>
      <c r="AG478" s="134"/>
      <c r="AH478" s="134"/>
      <c r="AI478" s="134"/>
      <c r="AJ478" s="134"/>
      <c r="AK478" s="134"/>
      <c r="AL478" s="134"/>
      <c r="AM478" s="134"/>
      <c r="AN478" s="134"/>
    </row>
    <row r="479" ht="15.75" customHeigh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305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4"/>
      <c r="AG479" s="134"/>
      <c r="AH479" s="134"/>
      <c r="AI479" s="134"/>
      <c r="AJ479" s="134"/>
      <c r="AK479" s="134"/>
      <c r="AL479" s="134"/>
      <c r="AM479" s="134"/>
      <c r="AN479" s="134"/>
    </row>
    <row r="480" ht="15.75" customHeigh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305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  <c r="AF480" s="134"/>
      <c r="AG480" s="134"/>
      <c r="AH480" s="134"/>
      <c r="AI480" s="134"/>
      <c r="AJ480" s="134"/>
      <c r="AK480" s="134"/>
      <c r="AL480" s="134"/>
      <c r="AM480" s="134"/>
      <c r="AN480" s="134"/>
    </row>
    <row r="481" ht="15.75" customHeigh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305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  <c r="AF481" s="134"/>
      <c r="AG481" s="134"/>
      <c r="AH481" s="134"/>
      <c r="AI481" s="134"/>
      <c r="AJ481" s="134"/>
      <c r="AK481" s="134"/>
      <c r="AL481" s="134"/>
      <c r="AM481" s="134"/>
      <c r="AN481" s="134"/>
    </row>
    <row r="482" ht="15.75" customHeigh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305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  <c r="AF482" s="134"/>
      <c r="AG482" s="134"/>
      <c r="AH482" s="134"/>
      <c r="AI482" s="134"/>
      <c r="AJ482" s="134"/>
      <c r="AK482" s="134"/>
      <c r="AL482" s="134"/>
      <c r="AM482" s="134"/>
      <c r="AN482" s="134"/>
    </row>
    <row r="483" ht="15.75" customHeigh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305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  <c r="AF483" s="134"/>
      <c r="AG483" s="134"/>
      <c r="AH483" s="134"/>
      <c r="AI483" s="134"/>
      <c r="AJ483" s="134"/>
      <c r="AK483" s="134"/>
      <c r="AL483" s="134"/>
      <c r="AM483" s="134"/>
      <c r="AN483" s="134"/>
    </row>
    <row r="484" ht="15.75" customHeigh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305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  <c r="AF484" s="134"/>
      <c r="AG484" s="134"/>
      <c r="AH484" s="134"/>
      <c r="AI484" s="134"/>
      <c r="AJ484" s="134"/>
      <c r="AK484" s="134"/>
      <c r="AL484" s="134"/>
      <c r="AM484" s="134"/>
      <c r="AN484" s="134"/>
    </row>
    <row r="485" ht="15.75" customHeigh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305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  <c r="AF485" s="134"/>
      <c r="AG485" s="134"/>
      <c r="AH485" s="134"/>
      <c r="AI485" s="134"/>
      <c r="AJ485" s="134"/>
      <c r="AK485" s="134"/>
      <c r="AL485" s="134"/>
      <c r="AM485" s="134"/>
      <c r="AN485" s="134"/>
    </row>
    <row r="486" ht="15.75" customHeigh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305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  <c r="AF486" s="134"/>
      <c r="AG486" s="134"/>
      <c r="AH486" s="134"/>
      <c r="AI486" s="134"/>
      <c r="AJ486" s="134"/>
      <c r="AK486" s="134"/>
      <c r="AL486" s="134"/>
      <c r="AM486" s="134"/>
      <c r="AN486" s="134"/>
    </row>
    <row r="487" ht="15.75" customHeigh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305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  <c r="AF487" s="134"/>
      <c r="AG487" s="134"/>
      <c r="AH487" s="134"/>
      <c r="AI487" s="134"/>
      <c r="AJ487" s="134"/>
      <c r="AK487" s="134"/>
      <c r="AL487" s="134"/>
      <c r="AM487" s="134"/>
      <c r="AN487" s="134"/>
    </row>
    <row r="488" ht="15.75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305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34"/>
      <c r="AI488" s="134"/>
      <c r="AJ488" s="134"/>
      <c r="AK488" s="134"/>
      <c r="AL488" s="134"/>
      <c r="AM488" s="134"/>
      <c r="AN488" s="134"/>
    </row>
    <row r="489" ht="15.75" customHeigh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305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  <c r="AF489" s="134"/>
      <c r="AG489" s="134"/>
      <c r="AH489" s="134"/>
      <c r="AI489" s="134"/>
      <c r="AJ489" s="134"/>
      <c r="AK489" s="134"/>
      <c r="AL489" s="134"/>
      <c r="AM489" s="134"/>
      <c r="AN489" s="134"/>
    </row>
    <row r="490" ht="15.75" customHeigh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305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  <c r="AF490" s="134"/>
      <c r="AG490" s="134"/>
      <c r="AH490" s="134"/>
      <c r="AI490" s="134"/>
      <c r="AJ490" s="134"/>
      <c r="AK490" s="134"/>
      <c r="AL490" s="134"/>
      <c r="AM490" s="134"/>
      <c r="AN490" s="134"/>
    </row>
    <row r="491" ht="15.75" customHeigh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305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  <c r="AF491" s="134"/>
      <c r="AG491" s="134"/>
      <c r="AH491" s="134"/>
      <c r="AI491" s="134"/>
      <c r="AJ491" s="134"/>
      <c r="AK491" s="134"/>
      <c r="AL491" s="134"/>
      <c r="AM491" s="134"/>
      <c r="AN491" s="134"/>
    </row>
    <row r="492" ht="15.75" customHeigh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305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  <c r="AF492" s="134"/>
      <c r="AG492" s="134"/>
      <c r="AH492" s="134"/>
      <c r="AI492" s="134"/>
      <c r="AJ492" s="134"/>
      <c r="AK492" s="134"/>
      <c r="AL492" s="134"/>
      <c r="AM492" s="134"/>
      <c r="AN492" s="134"/>
    </row>
    <row r="493" ht="15.75" customHeigh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305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  <c r="AF493" s="134"/>
      <c r="AG493" s="134"/>
      <c r="AH493" s="134"/>
      <c r="AI493" s="134"/>
      <c r="AJ493" s="134"/>
      <c r="AK493" s="134"/>
      <c r="AL493" s="134"/>
      <c r="AM493" s="134"/>
      <c r="AN493" s="134"/>
    </row>
    <row r="494" ht="15.75" customHeigh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305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  <c r="AF494" s="134"/>
      <c r="AG494" s="134"/>
      <c r="AH494" s="134"/>
      <c r="AI494" s="134"/>
      <c r="AJ494" s="134"/>
      <c r="AK494" s="134"/>
      <c r="AL494" s="134"/>
      <c r="AM494" s="134"/>
      <c r="AN494" s="134"/>
    </row>
    <row r="495" ht="15.75" customHeigh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305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  <c r="AF495" s="134"/>
      <c r="AG495" s="134"/>
      <c r="AH495" s="134"/>
      <c r="AI495" s="134"/>
      <c r="AJ495" s="134"/>
      <c r="AK495" s="134"/>
      <c r="AL495" s="134"/>
      <c r="AM495" s="134"/>
      <c r="AN495" s="134"/>
    </row>
    <row r="496" ht="15.75" customHeigh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305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  <c r="AF496" s="134"/>
      <c r="AG496" s="134"/>
      <c r="AH496" s="134"/>
      <c r="AI496" s="134"/>
      <c r="AJ496" s="134"/>
      <c r="AK496" s="134"/>
      <c r="AL496" s="134"/>
      <c r="AM496" s="134"/>
      <c r="AN496" s="134"/>
    </row>
    <row r="497" ht="15.75" customHeigh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305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  <c r="AM497" s="134"/>
      <c r="AN497" s="134"/>
    </row>
    <row r="498" ht="15.75" customHeigh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305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  <c r="AF498" s="134"/>
      <c r="AG498" s="134"/>
      <c r="AH498" s="134"/>
      <c r="AI498" s="134"/>
      <c r="AJ498" s="134"/>
      <c r="AK498" s="134"/>
      <c r="AL498" s="134"/>
      <c r="AM498" s="134"/>
      <c r="AN498" s="134"/>
    </row>
    <row r="499" ht="15.75" customHeigh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305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  <c r="AF499" s="134"/>
      <c r="AG499" s="134"/>
      <c r="AH499" s="134"/>
      <c r="AI499" s="134"/>
      <c r="AJ499" s="134"/>
      <c r="AK499" s="134"/>
      <c r="AL499" s="134"/>
      <c r="AM499" s="134"/>
      <c r="AN499" s="134"/>
    </row>
    <row r="500" ht="15.75" customHeigh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305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  <c r="AF500" s="134"/>
      <c r="AG500" s="134"/>
      <c r="AH500" s="134"/>
      <c r="AI500" s="134"/>
      <c r="AJ500" s="134"/>
      <c r="AK500" s="134"/>
      <c r="AL500" s="134"/>
      <c r="AM500" s="134"/>
      <c r="AN500" s="134"/>
    </row>
    <row r="501" ht="15.75" customHeigh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305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  <c r="AF501" s="134"/>
      <c r="AG501" s="134"/>
      <c r="AH501" s="134"/>
      <c r="AI501" s="134"/>
      <c r="AJ501" s="134"/>
      <c r="AK501" s="134"/>
      <c r="AL501" s="134"/>
      <c r="AM501" s="134"/>
      <c r="AN501" s="134"/>
    </row>
    <row r="502" ht="15.75" customHeigh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305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  <c r="AF502" s="134"/>
      <c r="AG502" s="134"/>
      <c r="AH502" s="134"/>
      <c r="AI502" s="134"/>
      <c r="AJ502" s="134"/>
      <c r="AK502" s="134"/>
      <c r="AL502" s="134"/>
      <c r="AM502" s="134"/>
      <c r="AN502" s="134"/>
    </row>
    <row r="503" ht="15.75" customHeigh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305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  <c r="AE503" s="134"/>
      <c r="AF503" s="134"/>
      <c r="AG503" s="134"/>
      <c r="AH503" s="134"/>
      <c r="AI503" s="134"/>
      <c r="AJ503" s="134"/>
      <c r="AK503" s="134"/>
      <c r="AL503" s="134"/>
      <c r="AM503" s="134"/>
      <c r="AN503" s="134"/>
    </row>
    <row r="504" ht="15.75" customHeigh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305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  <c r="AE504" s="134"/>
      <c r="AF504" s="134"/>
      <c r="AG504" s="134"/>
      <c r="AH504" s="134"/>
      <c r="AI504" s="134"/>
      <c r="AJ504" s="134"/>
      <c r="AK504" s="134"/>
      <c r="AL504" s="134"/>
      <c r="AM504" s="134"/>
      <c r="AN504" s="134"/>
    </row>
    <row r="505" ht="15.75" customHeigh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305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  <c r="AE505" s="134"/>
      <c r="AF505" s="134"/>
      <c r="AG505" s="134"/>
      <c r="AH505" s="134"/>
      <c r="AI505" s="134"/>
      <c r="AJ505" s="134"/>
      <c r="AK505" s="134"/>
      <c r="AL505" s="134"/>
      <c r="AM505" s="134"/>
      <c r="AN505" s="134"/>
    </row>
    <row r="506" ht="15.75" customHeigh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305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  <c r="AE506" s="134"/>
      <c r="AF506" s="134"/>
      <c r="AG506" s="134"/>
      <c r="AH506" s="134"/>
      <c r="AI506" s="134"/>
      <c r="AJ506" s="134"/>
      <c r="AK506" s="134"/>
      <c r="AL506" s="134"/>
      <c r="AM506" s="134"/>
      <c r="AN506" s="134"/>
    </row>
    <row r="507" ht="15.75" customHeigh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305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  <c r="AE507" s="134"/>
      <c r="AF507" s="134"/>
      <c r="AG507" s="134"/>
      <c r="AH507" s="134"/>
      <c r="AI507" s="134"/>
      <c r="AJ507" s="134"/>
      <c r="AK507" s="134"/>
      <c r="AL507" s="134"/>
      <c r="AM507" s="134"/>
      <c r="AN507" s="134"/>
    </row>
    <row r="508" ht="15.75" customHeigh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305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  <c r="AE508" s="134"/>
      <c r="AF508" s="134"/>
      <c r="AG508" s="134"/>
      <c r="AH508" s="134"/>
      <c r="AI508" s="134"/>
      <c r="AJ508" s="134"/>
      <c r="AK508" s="134"/>
      <c r="AL508" s="134"/>
      <c r="AM508" s="134"/>
      <c r="AN508" s="134"/>
    </row>
    <row r="509" ht="15.75" customHeigh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305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  <c r="AE509" s="134"/>
      <c r="AF509" s="134"/>
      <c r="AG509" s="134"/>
      <c r="AH509" s="134"/>
      <c r="AI509" s="134"/>
      <c r="AJ509" s="134"/>
      <c r="AK509" s="134"/>
      <c r="AL509" s="134"/>
      <c r="AM509" s="134"/>
      <c r="AN509" s="134"/>
    </row>
    <row r="510" ht="15.75" customHeigh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305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  <c r="AE510" s="134"/>
      <c r="AF510" s="134"/>
      <c r="AG510" s="134"/>
      <c r="AH510" s="134"/>
      <c r="AI510" s="134"/>
      <c r="AJ510" s="134"/>
      <c r="AK510" s="134"/>
      <c r="AL510" s="134"/>
      <c r="AM510" s="134"/>
      <c r="AN510" s="134"/>
    </row>
    <row r="511" ht="15.75" customHeigh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305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  <c r="AF511" s="134"/>
      <c r="AG511" s="134"/>
      <c r="AH511" s="134"/>
      <c r="AI511" s="134"/>
      <c r="AJ511" s="134"/>
      <c r="AK511" s="134"/>
      <c r="AL511" s="134"/>
      <c r="AM511" s="134"/>
      <c r="AN511" s="134"/>
    </row>
    <row r="512" ht="15.75" customHeigh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305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  <c r="AE512" s="134"/>
      <c r="AF512" s="134"/>
      <c r="AG512" s="134"/>
      <c r="AH512" s="134"/>
      <c r="AI512" s="134"/>
      <c r="AJ512" s="134"/>
      <c r="AK512" s="134"/>
      <c r="AL512" s="134"/>
      <c r="AM512" s="134"/>
      <c r="AN512" s="134"/>
    </row>
    <row r="513" ht="15.75" customHeigh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305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  <c r="AE513" s="134"/>
      <c r="AF513" s="134"/>
      <c r="AG513" s="134"/>
      <c r="AH513" s="134"/>
      <c r="AI513" s="134"/>
      <c r="AJ513" s="134"/>
      <c r="AK513" s="134"/>
      <c r="AL513" s="134"/>
      <c r="AM513" s="134"/>
      <c r="AN513" s="134"/>
    </row>
    <row r="514" ht="15.75" customHeigh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305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  <c r="AE514" s="134"/>
      <c r="AF514" s="134"/>
      <c r="AG514" s="134"/>
      <c r="AH514" s="134"/>
      <c r="AI514" s="134"/>
      <c r="AJ514" s="134"/>
      <c r="AK514" s="134"/>
      <c r="AL514" s="134"/>
      <c r="AM514" s="134"/>
      <c r="AN514" s="134"/>
    </row>
    <row r="515" ht="15.75" customHeigh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305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  <c r="AF515" s="134"/>
      <c r="AG515" s="134"/>
      <c r="AH515" s="134"/>
      <c r="AI515" s="134"/>
      <c r="AJ515" s="134"/>
      <c r="AK515" s="134"/>
      <c r="AL515" s="134"/>
      <c r="AM515" s="134"/>
      <c r="AN515" s="134"/>
    </row>
    <row r="516" ht="15.75" customHeigh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305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  <c r="AF516" s="134"/>
      <c r="AG516" s="134"/>
      <c r="AH516" s="134"/>
      <c r="AI516" s="134"/>
      <c r="AJ516" s="134"/>
      <c r="AK516" s="134"/>
      <c r="AL516" s="134"/>
      <c r="AM516" s="134"/>
      <c r="AN516" s="134"/>
    </row>
    <row r="517" ht="15.75" customHeigh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305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  <c r="AF517" s="134"/>
      <c r="AG517" s="134"/>
      <c r="AH517" s="134"/>
      <c r="AI517" s="134"/>
      <c r="AJ517" s="134"/>
      <c r="AK517" s="134"/>
      <c r="AL517" s="134"/>
      <c r="AM517" s="134"/>
      <c r="AN517" s="134"/>
    </row>
    <row r="518" ht="15.75" customHeigh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305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  <c r="AF518" s="134"/>
      <c r="AG518" s="134"/>
      <c r="AH518" s="134"/>
      <c r="AI518" s="134"/>
      <c r="AJ518" s="134"/>
      <c r="AK518" s="134"/>
      <c r="AL518" s="134"/>
      <c r="AM518" s="134"/>
      <c r="AN518" s="134"/>
    </row>
    <row r="519" ht="15.75" customHeigh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305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  <c r="AF519" s="134"/>
      <c r="AG519" s="134"/>
      <c r="AH519" s="134"/>
      <c r="AI519" s="134"/>
      <c r="AJ519" s="134"/>
      <c r="AK519" s="134"/>
      <c r="AL519" s="134"/>
      <c r="AM519" s="134"/>
      <c r="AN519" s="134"/>
    </row>
    <row r="520" ht="15.75" customHeigh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305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  <c r="AF520" s="134"/>
      <c r="AG520" s="134"/>
      <c r="AH520" s="134"/>
      <c r="AI520" s="134"/>
      <c r="AJ520" s="134"/>
      <c r="AK520" s="134"/>
      <c r="AL520" s="134"/>
      <c r="AM520" s="134"/>
      <c r="AN520" s="134"/>
    </row>
    <row r="521" ht="15.75" customHeigh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305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  <c r="AF521" s="134"/>
      <c r="AG521" s="134"/>
      <c r="AH521" s="134"/>
      <c r="AI521" s="134"/>
      <c r="AJ521" s="134"/>
      <c r="AK521" s="134"/>
      <c r="AL521" s="134"/>
      <c r="AM521" s="134"/>
      <c r="AN521" s="134"/>
    </row>
    <row r="522" ht="15.75" customHeigh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305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  <c r="AF522" s="134"/>
      <c r="AG522" s="134"/>
      <c r="AH522" s="134"/>
      <c r="AI522" s="134"/>
      <c r="AJ522" s="134"/>
      <c r="AK522" s="134"/>
      <c r="AL522" s="134"/>
      <c r="AM522" s="134"/>
      <c r="AN522" s="134"/>
    </row>
    <row r="523" ht="15.75" customHeigh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305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  <c r="AF523" s="134"/>
      <c r="AG523" s="134"/>
      <c r="AH523" s="134"/>
      <c r="AI523" s="134"/>
      <c r="AJ523" s="134"/>
      <c r="AK523" s="134"/>
      <c r="AL523" s="134"/>
      <c r="AM523" s="134"/>
      <c r="AN523" s="134"/>
    </row>
    <row r="524" ht="15.75" customHeigh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305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  <c r="AF524" s="134"/>
      <c r="AG524" s="134"/>
      <c r="AH524" s="134"/>
      <c r="AI524" s="134"/>
      <c r="AJ524" s="134"/>
      <c r="AK524" s="134"/>
      <c r="AL524" s="134"/>
      <c r="AM524" s="134"/>
      <c r="AN524" s="134"/>
    </row>
    <row r="525" ht="15.75" customHeigh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305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  <c r="AF525" s="134"/>
      <c r="AG525" s="134"/>
      <c r="AH525" s="134"/>
      <c r="AI525" s="134"/>
      <c r="AJ525" s="134"/>
      <c r="AK525" s="134"/>
      <c r="AL525" s="134"/>
      <c r="AM525" s="134"/>
      <c r="AN525" s="134"/>
    </row>
    <row r="526" ht="15.75" customHeigh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305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  <c r="AF526" s="134"/>
      <c r="AG526" s="134"/>
      <c r="AH526" s="134"/>
      <c r="AI526" s="134"/>
      <c r="AJ526" s="134"/>
      <c r="AK526" s="134"/>
      <c r="AL526" s="134"/>
      <c r="AM526" s="134"/>
      <c r="AN526" s="134"/>
    </row>
    <row r="527" ht="15.75" customHeigh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305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  <c r="AF527" s="134"/>
      <c r="AG527" s="134"/>
      <c r="AH527" s="134"/>
      <c r="AI527" s="134"/>
      <c r="AJ527" s="134"/>
      <c r="AK527" s="134"/>
      <c r="AL527" s="134"/>
      <c r="AM527" s="134"/>
      <c r="AN527" s="134"/>
    </row>
    <row r="528" ht="15.75" customHeigh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305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  <c r="AF528" s="134"/>
      <c r="AG528" s="134"/>
      <c r="AH528" s="134"/>
      <c r="AI528" s="134"/>
      <c r="AJ528" s="134"/>
      <c r="AK528" s="134"/>
      <c r="AL528" s="134"/>
      <c r="AM528" s="134"/>
      <c r="AN528" s="134"/>
    </row>
    <row r="529" ht="15.75" customHeigh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305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  <c r="AF529" s="134"/>
      <c r="AG529" s="134"/>
      <c r="AH529" s="134"/>
      <c r="AI529" s="134"/>
      <c r="AJ529" s="134"/>
      <c r="AK529" s="134"/>
      <c r="AL529" s="134"/>
      <c r="AM529" s="134"/>
      <c r="AN529" s="134"/>
    </row>
    <row r="530" ht="15.75" customHeigh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305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  <c r="AF530" s="134"/>
      <c r="AG530" s="134"/>
      <c r="AH530" s="134"/>
      <c r="AI530" s="134"/>
      <c r="AJ530" s="134"/>
      <c r="AK530" s="134"/>
      <c r="AL530" s="134"/>
      <c r="AM530" s="134"/>
      <c r="AN530" s="134"/>
    </row>
    <row r="531" ht="15.75" customHeigh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305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  <c r="AF531" s="134"/>
      <c r="AG531" s="134"/>
      <c r="AH531" s="134"/>
      <c r="AI531" s="134"/>
      <c r="AJ531" s="134"/>
      <c r="AK531" s="134"/>
      <c r="AL531" s="134"/>
      <c r="AM531" s="134"/>
      <c r="AN531" s="134"/>
    </row>
    <row r="532" ht="15.75" customHeigh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305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  <c r="AE532" s="134"/>
      <c r="AF532" s="134"/>
      <c r="AG532" s="134"/>
      <c r="AH532" s="134"/>
      <c r="AI532" s="134"/>
      <c r="AJ532" s="134"/>
      <c r="AK532" s="134"/>
      <c r="AL532" s="134"/>
      <c r="AM532" s="134"/>
      <c r="AN532" s="134"/>
    </row>
    <row r="533" ht="15.75" customHeigh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305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  <c r="AE533" s="134"/>
      <c r="AF533" s="134"/>
      <c r="AG533" s="134"/>
      <c r="AH533" s="134"/>
      <c r="AI533" s="134"/>
      <c r="AJ533" s="134"/>
      <c r="AK533" s="134"/>
      <c r="AL533" s="134"/>
      <c r="AM533" s="134"/>
      <c r="AN533" s="134"/>
    </row>
    <row r="534" ht="15.75" customHeigh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305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  <c r="AE534" s="134"/>
      <c r="AF534" s="134"/>
      <c r="AG534" s="134"/>
      <c r="AH534" s="134"/>
      <c r="AI534" s="134"/>
      <c r="AJ534" s="134"/>
      <c r="AK534" s="134"/>
      <c r="AL534" s="134"/>
      <c r="AM534" s="134"/>
      <c r="AN534" s="134"/>
    </row>
    <row r="535" ht="15.75" customHeigh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305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  <c r="AF535" s="134"/>
      <c r="AG535" s="134"/>
      <c r="AH535" s="134"/>
      <c r="AI535" s="134"/>
      <c r="AJ535" s="134"/>
      <c r="AK535" s="134"/>
      <c r="AL535" s="134"/>
      <c r="AM535" s="134"/>
      <c r="AN535" s="134"/>
    </row>
    <row r="536" ht="15.75" customHeigh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305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  <c r="AF536" s="134"/>
      <c r="AG536" s="134"/>
      <c r="AH536" s="134"/>
      <c r="AI536" s="134"/>
      <c r="AJ536" s="134"/>
      <c r="AK536" s="134"/>
      <c r="AL536" s="134"/>
      <c r="AM536" s="134"/>
      <c r="AN536" s="134"/>
    </row>
    <row r="537" ht="15.75" customHeigh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305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  <c r="AF537" s="134"/>
      <c r="AG537" s="134"/>
      <c r="AH537" s="134"/>
      <c r="AI537" s="134"/>
      <c r="AJ537" s="134"/>
      <c r="AK537" s="134"/>
      <c r="AL537" s="134"/>
      <c r="AM537" s="134"/>
      <c r="AN537" s="134"/>
    </row>
    <row r="538" ht="15.75" customHeigh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305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  <c r="AF538" s="134"/>
      <c r="AG538" s="134"/>
      <c r="AH538" s="134"/>
      <c r="AI538" s="134"/>
      <c r="AJ538" s="134"/>
      <c r="AK538" s="134"/>
      <c r="AL538" s="134"/>
      <c r="AM538" s="134"/>
      <c r="AN538" s="134"/>
    </row>
    <row r="539" ht="15.75" customHeigh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305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  <c r="AF539" s="134"/>
      <c r="AG539" s="134"/>
      <c r="AH539" s="134"/>
      <c r="AI539" s="134"/>
      <c r="AJ539" s="134"/>
      <c r="AK539" s="134"/>
      <c r="AL539" s="134"/>
      <c r="AM539" s="134"/>
      <c r="AN539" s="134"/>
    </row>
    <row r="540" ht="15.75" customHeigh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305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  <c r="AF540" s="134"/>
      <c r="AG540" s="134"/>
      <c r="AH540" s="134"/>
      <c r="AI540" s="134"/>
      <c r="AJ540" s="134"/>
      <c r="AK540" s="134"/>
      <c r="AL540" s="134"/>
      <c r="AM540" s="134"/>
      <c r="AN540" s="134"/>
    </row>
    <row r="541" ht="15.75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305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34"/>
      <c r="AI541" s="134"/>
      <c r="AJ541" s="134"/>
      <c r="AK541" s="134"/>
      <c r="AL541" s="134"/>
      <c r="AM541" s="134"/>
      <c r="AN541" s="134"/>
    </row>
    <row r="542" ht="15.75" customHeigh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305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  <c r="AF542" s="134"/>
      <c r="AG542" s="134"/>
      <c r="AH542" s="134"/>
      <c r="AI542" s="134"/>
      <c r="AJ542" s="134"/>
      <c r="AK542" s="134"/>
      <c r="AL542" s="134"/>
      <c r="AM542" s="134"/>
      <c r="AN542" s="134"/>
    </row>
    <row r="543" ht="15.75" customHeigh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305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  <c r="AF543" s="134"/>
      <c r="AG543" s="134"/>
      <c r="AH543" s="134"/>
      <c r="AI543" s="134"/>
      <c r="AJ543" s="134"/>
      <c r="AK543" s="134"/>
      <c r="AL543" s="134"/>
      <c r="AM543" s="134"/>
      <c r="AN543" s="134"/>
    </row>
    <row r="544" ht="15.75" customHeigh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305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  <c r="AF544" s="134"/>
      <c r="AG544" s="134"/>
      <c r="AH544" s="134"/>
      <c r="AI544" s="134"/>
      <c r="AJ544" s="134"/>
      <c r="AK544" s="134"/>
      <c r="AL544" s="134"/>
      <c r="AM544" s="134"/>
      <c r="AN544" s="134"/>
    </row>
    <row r="545" ht="15.75" customHeigh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305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  <c r="AF545" s="134"/>
      <c r="AG545" s="134"/>
      <c r="AH545" s="134"/>
      <c r="AI545" s="134"/>
      <c r="AJ545" s="134"/>
      <c r="AK545" s="134"/>
      <c r="AL545" s="134"/>
      <c r="AM545" s="134"/>
      <c r="AN545" s="134"/>
    </row>
    <row r="546" ht="15.75" customHeigh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305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  <c r="AF546" s="134"/>
      <c r="AG546" s="134"/>
      <c r="AH546" s="134"/>
      <c r="AI546" s="134"/>
      <c r="AJ546" s="134"/>
      <c r="AK546" s="134"/>
      <c r="AL546" s="134"/>
      <c r="AM546" s="134"/>
      <c r="AN546" s="134"/>
    </row>
    <row r="547" ht="15.75" customHeigh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305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  <c r="AF547" s="134"/>
      <c r="AG547" s="134"/>
      <c r="AH547" s="134"/>
      <c r="AI547" s="134"/>
      <c r="AJ547" s="134"/>
      <c r="AK547" s="134"/>
      <c r="AL547" s="134"/>
      <c r="AM547" s="134"/>
      <c r="AN547" s="134"/>
    </row>
    <row r="548" ht="15.75" customHeigh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305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  <c r="AE548" s="134"/>
      <c r="AF548" s="134"/>
      <c r="AG548" s="134"/>
      <c r="AH548" s="134"/>
      <c r="AI548" s="134"/>
      <c r="AJ548" s="134"/>
      <c r="AK548" s="134"/>
      <c r="AL548" s="134"/>
      <c r="AM548" s="134"/>
      <c r="AN548" s="134"/>
    </row>
    <row r="549" ht="15.75" customHeigh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305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  <c r="AE549" s="134"/>
      <c r="AF549" s="134"/>
      <c r="AG549" s="134"/>
      <c r="AH549" s="134"/>
      <c r="AI549" s="134"/>
      <c r="AJ549" s="134"/>
      <c r="AK549" s="134"/>
      <c r="AL549" s="134"/>
      <c r="AM549" s="134"/>
      <c r="AN549" s="134"/>
    </row>
    <row r="550" ht="15.75" customHeigh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305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  <c r="AE550" s="134"/>
      <c r="AF550" s="134"/>
      <c r="AG550" s="134"/>
      <c r="AH550" s="134"/>
      <c r="AI550" s="134"/>
      <c r="AJ550" s="134"/>
      <c r="AK550" s="134"/>
      <c r="AL550" s="134"/>
      <c r="AM550" s="134"/>
      <c r="AN550" s="134"/>
    </row>
    <row r="551" ht="15.75" customHeigh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305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  <c r="AE551" s="134"/>
      <c r="AF551" s="134"/>
      <c r="AG551" s="134"/>
      <c r="AH551" s="134"/>
      <c r="AI551" s="134"/>
      <c r="AJ551" s="134"/>
      <c r="AK551" s="134"/>
      <c r="AL551" s="134"/>
      <c r="AM551" s="134"/>
      <c r="AN551" s="134"/>
    </row>
    <row r="552" ht="15.75" customHeigh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305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  <c r="AE552" s="134"/>
      <c r="AF552" s="134"/>
      <c r="AG552" s="134"/>
      <c r="AH552" s="134"/>
      <c r="AI552" s="134"/>
      <c r="AJ552" s="134"/>
      <c r="AK552" s="134"/>
      <c r="AL552" s="134"/>
      <c r="AM552" s="134"/>
      <c r="AN552" s="134"/>
    </row>
    <row r="553" ht="15.75" customHeigh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305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  <c r="AE553" s="134"/>
      <c r="AF553" s="134"/>
      <c r="AG553" s="134"/>
      <c r="AH553" s="134"/>
      <c r="AI553" s="134"/>
      <c r="AJ553" s="134"/>
      <c r="AK553" s="134"/>
      <c r="AL553" s="134"/>
      <c r="AM553" s="134"/>
      <c r="AN553" s="134"/>
    </row>
    <row r="554" ht="15.75" customHeigh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305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  <c r="AE554" s="134"/>
      <c r="AF554" s="134"/>
      <c r="AG554" s="134"/>
      <c r="AH554" s="134"/>
      <c r="AI554" s="134"/>
      <c r="AJ554" s="134"/>
      <c r="AK554" s="134"/>
      <c r="AL554" s="134"/>
      <c r="AM554" s="134"/>
      <c r="AN554" s="134"/>
    </row>
    <row r="555" ht="15.75" customHeigh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305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  <c r="AE555" s="134"/>
      <c r="AF555" s="134"/>
      <c r="AG555" s="134"/>
      <c r="AH555" s="134"/>
      <c r="AI555" s="134"/>
      <c r="AJ555" s="134"/>
      <c r="AK555" s="134"/>
      <c r="AL555" s="134"/>
      <c r="AM555" s="134"/>
      <c r="AN555" s="134"/>
    </row>
    <row r="556" ht="15.75" customHeigh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305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  <c r="AE556" s="134"/>
      <c r="AF556" s="134"/>
      <c r="AG556" s="134"/>
      <c r="AH556" s="134"/>
      <c r="AI556" s="134"/>
      <c r="AJ556" s="134"/>
      <c r="AK556" s="134"/>
      <c r="AL556" s="134"/>
      <c r="AM556" s="134"/>
      <c r="AN556" s="134"/>
    </row>
    <row r="557" ht="15.75" customHeigh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305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  <c r="AE557" s="134"/>
      <c r="AF557" s="134"/>
      <c r="AG557" s="134"/>
      <c r="AH557" s="134"/>
      <c r="AI557" s="134"/>
      <c r="AJ557" s="134"/>
      <c r="AK557" s="134"/>
      <c r="AL557" s="134"/>
      <c r="AM557" s="134"/>
      <c r="AN557" s="134"/>
    </row>
    <row r="558" ht="15.75" customHeigh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305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  <c r="AE558" s="134"/>
      <c r="AF558" s="134"/>
      <c r="AG558" s="134"/>
      <c r="AH558" s="134"/>
      <c r="AI558" s="134"/>
      <c r="AJ558" s="134"/>
      <c r="AK558" s="134"/>
      <c r="AL558" s="134"/>
      <c r="AM558" s="134"/>
      <c r="AN558" s="134"/>
    </row>
    <row r="559" ht="15.75" customHeigh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305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  <c r="AE559" s="134"/>
      <c r="AF559" s="134"/>
      <c r="AG559" s="134"/>
      <c r="AH559" s="134"/>
      <c r="AI559" s="134"/>
      <c r="AJ559" s="134"/>
      <c r="AK559" s="134"/>
      <c r="AL559" s="134"/>
      <c r="AM559" s="134"/>
      <c r="AN559" s="134"/>
    </row>
    <row r="560" ht="15.75" customHeigh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305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  <c r="AE560" s="134"/>
      <c r="AF560" s="134"/>
      <c r="AG560" s="134"/>
      <c r="AH560" s="134"/>
      <c r="AI560" s="134"/>
      <c r="AJ560" s="134"/>
      <c r="AK560" s="134"/>
      <c r="AL560" s="134"/>
      <c r="AM560" s="134"/>
      <c r="AN560" s="134"/>
    </row>
    <row r="561" ht="15.75" customHeigh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305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  <c r="AF561" s="134"/>
      <c r="AG561" s="134"/>
      <c r="AH561" s="134"/>
      <c r="AI561" s="134"/>
      <c r="AJ561" s="134"/>
      <c r="AK561" s="134"/>
      <c r="AL561" s="134"/>
      <c r="AM561" s="134"/>
      <c r="AN561" s="134"/>
    </row>
    <row r="562" ht="15.75" customHeigh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305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  <c r="AF562" s="134"/>
      <c r="AG562" s="134"/>
      <c r="AH562" s="134"/>
      <c r="AI562" s="134"/>
      <c r="AJ562" s="134"/>
      <c r="AK562" s="134"/>
      <c r="AL562" s="134"/>
      <c r="AM562" s="134"/>
      <c r="AN562" s="134"/>
    </row>
    <row r="563" ht="15.75" customHeigh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305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  <c r="AF563" s="134"/>
      <c r="AG563" s="134"/>
      <c r="AH563" s="134"/>
      <c r="AI563" s="134"/>
      <c r="AJ563" s="134"/>
      <c r="AK563" s="134"/>
      <c r="AL563" s="134"/>
      <c r="AM563" s="134"/>
      <c r="AN563" s="134"/>
    </row>
    <row r="564" ht="15.75" customHeigh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305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  <c r="AF564" s="134"/>
      <c r="AG564" s="134"/>
      <c r="AH564" s="134"/>
      <c r="AI564" s="134"/>
      <c r="AJ564" s="134"/>
      <c r="AK564" s="134"/>
      <c r="AL564" s="134"/>
      <c r="AM564" s="134"/>
      <c r="AN564" s="134"/>
    </row>
    <row r="565" ht="15.75" customHeigh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305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  <c r="AG565" s="134"/>
      <c r="AH565" s="134"/>
      <c r="AI565" s="134"/>
      <c r="AJ565" s="134"/>
      <c r="AK565" s="134"/>
      <c r="AL565" s="134"/>
      <c r="AM565" s="134"/>
      <c r="AN565" s="134"/>
    </row>
    <row r="566" ht="15.75" customHeigh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305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  <c r="AF566" s="134"/>
      <c r="AG566" s="134"/>
      <c r="AH566" s="134"/>
      <c r="AI566" s="134"/>
      <c r="AJ566" s="134"/>
      <c r="AK566" s="134"/>
      <c r="AL566" s="134"/>
      <c r="AM566" s="134"/>
      <c r="AN566" s="134"/>
    </row>
    <row r="567" ht="15.75" customHeigh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305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  <c r="AF567" s="134"/>
      <c r="AG567" s="134"/>
      <c r="AH567" s="134"/>
      <c r="AI567" s="134"/>
      <c r="AJ567" s="134"/>
      <c r="AK567" s="134"/>
      <c r="AL567" s="134"/>
      <c r="AM567" s="134"/>
      <c r="AN567" s="134"/>
    </row>
    <row r="568" ht="15.75" customHeigh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305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  <c r="AF568" s="134"/>
      <c r="AG568" s="134"/>
      <c r="AH568" s="134"/>
      <c r="AI568" s="134"/>
      <c r="AJ568" s="134"/>
      <c r="AK568" s="134"/>
      <c r="AL568" s="134"/>
      <c r="AM568" s="134"/>
      <c r="AN568" s="134"/>
    </row>
    <row r="569" ht="15.75" customHeigh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305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  <c r="AF569" s="134"/>
      <c r="AG569" s="134"/>
      <c r="AH569" s="134"/>
      <c r="AI569" s="134"/>
      <c r="AJ569" s="134"/>
      <c r="AK569" s="134"/>
      <c r="AL569" s="134"/>
      <c r="AM569" s="134"/>
      <c r="AN569" s="134"/>
    </row>
    <row r="570" ht="15.75" customHeigh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305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  <c r="AF570" s="134"/>
      <c r="AG570" s="134"/>
      <c r="AH570" s="134"/>
      <c r="AI570" s="134"/>
      <c r="AJ570" s="134"/>
      <c r="AK570" s="134"/>
      <c r="AL570" s="134"/>
      <c r="AM570" s="134"/>
      <c r="AN570" s="134"/>
    </row>
    <row r="571" ht="15.75" customHeigh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305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  <c r="AF571" s="134"/>
      <c r="AG571" s="134"/>
      <c r="AH571" s="134"/>
      <c r="AI571" s="134"/>
      <c r="AJ571" s="134"/>
      <c r="AK571" s="134"/>
      <c r="AL571" s="134"/>
      <c r="AM571" s="134"/>
      <c r="AN571" s="134"/>
    </row>
    <row r="572" ht="15.75" customHeigh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305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  <c r="AF572" s="134"/>
      <c r="AG572" s="134"/>
      <c r="AH572" s="134"/>
      <c r="AI572" s="134"/>
      <c r="AJ572" s="134"/>
      <c r="AK572" s="134"/>
      <c r="AL572" s="134"/>
      <c r="AM572" s="134"/>
      <c r="AN572" s="134"/>
    </row>
    <row r="573" ht="15.75" customHeigh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305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  <c r="AF573" s="134"/>
      <c r="AG573" s="134"/>
      <c r="AH573" s="134"/>
      <c r="AI573" s="134"/>
      <c r="AJ573" s="134"/>
      <c r="AK573" s="134"/>
      <c r="AL573" s="134"/>
      <c r="AM573" s="134"/>
      <c r="AN573" s="134"/>
    </row>
    <row r="574" ht="15.75" customHeigh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305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  <c r="AF574" s="134"/>
      <c r="AG574" s="134"/>
      <c r="AH574" s="134"/>
      <c r="AI574" s="134"/>
      <c r="AJ574" s="134"/>
      <c r="AK574" s="134"/>
      <c r="AL574" s="134"/>
      <c r="AM574" s="134"/>
      <c r="AN574" s="134"/>
    </row>
    <row r="575" ht="15.75" customHeigh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305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  <c r="AF575" s="134"/>
      <c r="AG575" s="134"/>
      <c r="AH575" s="134"/>
      <c r="AI575" s="134"/>
      <c r="AJ575" s="134"/>
      <c r="AK575" s="134"/>
      <c r="AL575" s="134"/>
      <c r="AM575" s="134"/>
      <c r="AN575" s="134"/>
    </row>
    <row r="576" ht="15.75" customHeigh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305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  <c r="AF576" s="134"/>
      <c r="AG576" s="134"/>
      <c r="AH576" s="134"/>
      <c r="AI576" s="134"/>
      <c r="AJ576" s="134"/>
      <c r="AK576" s="134"/>
      <c r="AL576" s="134"/>
      <c r="AM576" s="134"/>
      <c r="AN576" s="134"/>
    </row>
    <row r="577" ht="15.75" customHeigh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305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  <c r="AF577" s="134"/>
      <c r="AG577" s="134"/>
      <c r="AH577" s="134"/>
      <c r="AI577" s="134"/>
      <c r="AJ577" s="134"/>
      <c r="AK577" s="134"/>
      <c r="AL577" s="134"/>
      <c r="AM577" s="134"/>
      <c r="AN577" s="134"/>
    </row>
    <row r="578" ht="15.75" customHeigh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305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  <c r="AF578" s="134"/>
      <c r="AG578" s="134"/>
      <c r="AH578" s="134"/>
      <c r="AI578" s="134"/>
      <c r="AJ578" s="134"/>
      <c r="AK578" s="134"/>
      <c r="AL578" s="134"/>
      <c r="AM578" s="134"/>
      <c r="AN578" s="134"/>
    </row>
    <row r="579" ht="15.75" customHeigh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305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  <c r="AF579" s="134"/>
      <c r="AG579" s="134"/>
      <c r="AH579" s="134"/>
      <c r="AI579" s="134"/>
      <c r="AJ579" s="134"/>
      <c r="AK579" s="134"/>
      <c r="AL579" s="134"/>
      <c r="AM579" s="134"/>
      <c r="AN579" s="134"/>
    </row>
    <row r="580" ht="15.75" customHeigh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305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  <c r="AF580" s="134"/>
      <c r="AG580" s="134"/>
      <c r="AH580" s="134"/>
      <c r="AI580" s="134"/>
      <c r="AJ580" s="134"/>
      <c r="AK580" s="134"/>
      <c r="AL580" s="134"/>
      <c r="AM580" s="134"/>
      <c r="AN580" s="134"/>
    </row>
    <row r="581" ht="15.75" customHeigh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305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  <c r="AF581" s="134"/>
      <c r="AG581" s="134"/>
      <c r="AH581" s="134"/>
      <c r="AI581" s="134"/>
      <c r="AJ581" s="134"/>
      <c r="AK581" s="134"/>
      <c r="AL581" s="134"/>
      <c r="AM581" s="134"/>
      <c r="AN581" s="134"/>
    </row>
    <row r="582" ht="15.75" customHeigh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305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  <c r="AF582" s="134"/>
      <c r="AG582" s="134"/>
      <c r="AH582" s="134"/>
      <c r="AI582" s="134"/>
      <c r="AJ582" s="134"/>
      <c r="AK582" s="134"/>
      <c r="AL582" s="134"/>
      <c r="AM582" s="134"/>
      <c r="AN582" s="134"/>
    </row>
    <row r="583" ht="15.75" customHeigh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305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  <c r="AF583" s="134"/>
      <c r="AG583" s="134"/>
      <c r="AH583" s="134"/>
      <c r="AI583" s="134"/>
      <c r="AJ583" s="134"/>
      <c r="AK583" s="134"/>
      <c r="AL583" s="134"/>
      <c r="AM583" s="134"/>
      <c r="AN583" s="134"/>
    </row>
    <row r="584" ht="15.75" customHeigh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305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  <c r="AF584" s="134"/>
      <c r="AG584" s="134"/>
      <c r="AH584" s="134"/>
      <c r="AI584" s="134"/>
      <c r="AJ584" s="134"/>
      <c r="AK584" s="134"/>
      <c r="AL584" s="134"/>
      <c r="AM584" s="134"/>
      <c r="AN584" s="134"/>
    </row>
    <row r="585" ht="15.75" customHeigh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305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  <c r="AF585" s="134"/>
      <c r="AG585" s="134"/>
      <c r="AH585" s="134"/>
      <c r="AI585" s="134"/>
      <c r="AJ585" s="134"/>
      <c r="AK585" s="134"/>
      <c r="AL585" s="134"/>
      <c r="AM585" s="134"/>
      <c r="AN585" s="134"/>
    </row>
    <row r="586" ht="15.75" customHeigh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305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  <c r="AF586" s="134"/>
      <c r="AG586" s="134"/>
      <c r="AH586" s="134"/>
      <c r="AI586" s="134"/>
      <c r="AJ586" s="134"/>
      <c r="AK586" s="134"/>
      <c r="AL586" s="134"/>
      <c r="AM586" s="134"/>
      <c r="AN586" s="134"/>
    </row>
    <row r="587" ht="15.75" customHeigh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305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  <c r="AF587" s="134"/>
      <c r="AG587" s="134"/>
      <c r="AH587" s="134"/>
      <c r="AI587" s="134"/>
      <c r="AJ587" s="134"/>
      <c r="AK587" s="134"/>
      <c r="AL587" s="134"/>
      <c r="AM587" s="134"/>
      <c r="AN587" s="134"/>
    </row>
    <row r="588" ht="15.75" customHeigh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305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  <c r="AF588" s="134"/>
      <c r="AG588" s="134"/>
      <c r="AH588" s="134"/>
      <c r="AI588" s="134"/>
      <c r="AJ588" s="134"/>
      <c r="AK588" s="134"/>
      <c r="AL588" s="134"/>
      <c r="AM588" s="134"/>
      <c r="AN588" s="134"/>
    </row>
    <row r="589" ht="15.75" customHeigh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305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4"/>
      <c r="AG589" s="134"/>
      <c r="AH589" s="134"/>
      <c r="AI589" s="134"/>
      <c r="AJ589" s="134"/>
      <c r="AK589" s="134"/>
      <c r="AL589" s="134"/>
      <c r="AM589" s="134"/>
      <c r="AN589" s="134"/>
    </row>
    <row r="590" ht="15.75" customHeigh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305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  <c r="AF590" s="134"/>
      <c r="AG590" s="134"/>
      <c r="AH590" s="134"/>
      <c r="AI590" s="134"/>
      <c r="AJ590" s="134"/>
      <c r="AK590" s="134"/>
      <c r="AL590" s="134"/>
      <c r="AM590" s="134"/>
      <c r="AN590" s="134"/>
    </row>
    <row r="591" ht="15.75" customHeigh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305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  <c r="AF591" s="134"/>
      <c r="AG591" s="134"/>
      <c r="AH591" s="134"/>
      <c r="AI591" s="134"/>
      <c r="AJ591" s="134"/>
      <c r="AK591" s="134"/>
      <c r="AL591" s="134"/>
      <c r="AM591" s="134"/>
      <c r="AN591" s="134"/>
    </row>
    <row r="592" ht="15.75" customHeigh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305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  <c r="AF592" s="134"/>
      <c r="AG592" s="134"/>
      <c r="AH592" s="134"/>
      <c r="AI592" s="134"/>
      <c r="AJ592" s="134"/>
      <c r="AK592" s="134"/>
      <c r="AL592" s="134"/>
      <c r="AM592" s="134"/>
      <c r="AN592" s="134"/>
    </row>
    <row r="593" ht="15.75" customHeigh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305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  <c r="AF593" s="134"/>
      <c r="AG593" s="134"/>
      <c r="AH593" s="134"/>
      <c r="AI593" s="134"/>
      <c r="AJ593" s="134"/>
      <c r="AK593" s="134"/>
      <c r="AL593" s="134"/>
      <c r="AM593" s="134"/>
      <c r="AN593" s="134"/>
    </row>
    <row r="594" ht="15.75" customHeigh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305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  <c r="AF594" s="134"/>
      <c r="AG594" s="134"/>
      <c r="AH594" s="134"/>
      <c r="AI594" s="134"/>
      <c r="AJ594" s="134"/>
      <c r="AK594" s="134"/>
      <c r="AL594" s="134"/>
      <c r="AM594" s="134"/>
      <c r="AN594" s="134"/>
    </row>
    <row r="595" ht="15.75" customHeigh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305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  <c r="AE595" s="134"/>
      <c r="AF595" s="134"/>
      <c r="AG595" s="134"/>
      <c r="AH595" s="134"/>
      <c r="AI595" s="134"/>
      <c r="AJ595" s="134"/>
      <c r="AK595" s="134"/>
      <c r="AL595" s="134"/>
      <c r="AM595" s="134"/>
      <c r="AN595" s="134"/>
    </row>
    <row r="596" ht="15.75" customHeigh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305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  <c r="AF596" s="134"/>
      <c r="AG596" s="134"/>
      <c r="AH596" s="134"/>
      <c r="AI596" s="134"/>
      <c r="AJ596" s="134"/>
      <c r="AK596" s="134"/>
      <c r="AL596" s="134"/>
      <c r="AM596" s="134"/>
      <c r="AN596" s="134"/>
    </row>
    <row r="597" ht="15.75" customHeigh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305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  <c r="AF597" s="134"/>
      <c r="AG597" s="134"/>
      <c r="AH597" s="134"/>
      <c r="AI597" s="134"/>
      <c r="AJ597" s="134"/>
      <c r="AK597" s="134"/>
      <c r="AL597" s="134"/>
      <c r="AM597" s="134"/>
      <c r="AN597" s="134"/>
    </row>
    <row r="598" ht="15.75" customHeigh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305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  <c r="AF598" s="134"/>
      <c r="AG598" s="134"/>
      <c r="AH598" s="134"/>
      <c r="AI598" s="134"/>
      <c r="AJ598" s="134"/>
      <c r="AK598" s="134"/>
      <c r="AL598" s="134"/>
      <c r="AM598" s="134"/>
      <c r="AN598" s="134"/>
    </row>
    <row r="599" ht="15.75" customHeigh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305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  <c r="AF599" s="134"/>
      <c r="AG599" s="134"/>
      <c r="AH599" s="134"/>
      <c r="AI599" s="134"/>
      <c r="AJ599" s="134"/>
      <c r="AK599" s="134"/>
      <c r="AL599" s="134"/>
      <c r="AM599" s="134"/>
      <c r="AN599" s="134"/>
    </row>
    <row r="600" ht="15.75" customHeigh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305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  <c r="AF600" s="134"/>
      <c r="AG600" s="134"/>
      <c r="AH600" s="134"/>
      <c r="AI600" s="134"/>
      <c r="AJ600" s="134"/>
      <c r="AK600" s="134"/>
      <c r="AL600" s="134"/>
      <c r="AM600" s="134"/>
      <c r="AN600" s="134"/>
    </row>
    <row r="601" ht="15.75" customHeigh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305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  <c r="AF601" s="134"/>
      <c r="AG601" s="134"/>
      <c r="AH601" s="134"/>
      <c r="AI601" s="134"/>
      <c r="AJ601" s="134"/>
      <c r="AK601" s="134"/>
      <c r="AL601" s="134"/>
      <c r="AM601" s="134"/>
      <c r="AN601" s="134"/>
    </row>
    <row r="602" ht="15.75" customHeigh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305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  <c r="AF602" s="134"/>
      <c r="AG602" s="134"/>
      <c r="AH602" s="134"/>
      <c r="AI602" s="134"/>
      <c r="AJ602" s="134"/>
      <c r="AK602" s="134"/>
      <c r="AL602" s="134"/>
      <c r="AM602" s="134"/>
      <c r="AN602" s="134"/>
    </row>
    <row r="603" ht="15.75" customHeigh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305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  <c r="AF603" s="134"/>
      <c r="AG603" s="134"/>
      <c r="AH603" s="134"/>
      <c r="AI603" s="134"/>
      <c r="AJ603" s="134"/>
      <c r="AK603" s="134"/>
      <c r="AL603" s="134"/>
      <c r="AM603" s="134"/>
      <c r="AN603" s="134"/>
    </row>
    <row r="604" ht="15.75" customHeigh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305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  <c r="AF604" s="134"/>
      <c r="AG604" s="134"/>
      <c r="AH604" s="134"/>
      <c r="AI604" s="134"/>
      <c r="AJ604" s="134"/>
      <c r="AK604" s="134"/>
      <c r="AL604" s="134"/>
      <c r="AM604" s="134"/>
      <c r="AN604" s="134"/>
    </row>
    <row r="605" ht="15.75" customHeigh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305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  <c r="AF605" s="134"/>
      <c r="AG605" s="134"/>
      <c r="AH605" s="134"/>
      <c r="AI605" s="134"/>
      <c r="AJ605" s="134"/>
      <c r="AK605" s="134"/>
      <c r="AL605" s="134"/>
      <c r="AM605" s="134"/>
      <c r="AN605" s="134"/>
    </row>
    <row r="606" ht="15.75" customHeigh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305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  <c r="AF606" s="134"/>
      <c r="AG606" s="134"/>
      <c r="AH606" s="134"/>
      <c r="AI606" s="134"/>
      <c r="AJ606" s="134"/>
      <c r="AK606" s="134"/>
      <c r="AL606" s="134"/>
      <c r="AM606" s="134"/>
      <c r="AN606" s="134"/>
    </row>
    <row r="607" ht="15.75" customHeigh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305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  <c r="AF607" s="134"/>
      <c r="AG607" s="134"/>
      <c r="AH607" s="134"/>
      <c r="AI607" s="134"/>
      <c r="AJ607" s="134"/>
      <c r="AK607" s="134"/>
      <c r="AL607" s="134"/>
      <c r="AM607" s="134"/>
      <c r="AN607" s="134"/>
    </row>
    <row r="608" ht="15.75" customHeigh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305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  <c r="AF608" s="134"/>
      <c r="AG608" s="134"/>
      <c r="AH608" s="134"/>
      <c r="AI608" s="134"/>
      <c r="AJ608" s="134"/>
      <c r="AK608" s="134"/>
      <c r="AL608" s="134"/>
      <c r="AM608" s="134"/>
      <c r="AN608" s="134"/>
    </row>
    <row r="609" ht="15.75" customHeigh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305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  <c r="AF609" s="134"/>
      <c r="AG609" s="134"/>
      <c r="AH609" s="134"/>
      <c r="AI609" s="134"/>
      <c r="AJ609" s="134"/>
      <c r="AK609" s="134"/>
      <c r="AL609" s="134"/>
      <c r="AM609" s="134"/>
      <c r="AN609" s="134"/>
    </row>
    <row r="610" ht="15.75" customHeigh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305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  <c r="AF610" s="134"/>
      <c r="AG610" s="134"/>
      <c r="AH610" s="134"/>
      <c r="AI610" s="134"/>
      <c r="AJ610" s="134"/>
      <c r="AK610" s="134"/>
      <c r="AL610" s="134"/>
      <c r="AM610" s="134"/>
      <c r="AN610" s="134"/>
    </row>
    <row r="611" ht="15.75" customHeigh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305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  <c r="AF611" s="134"/>
      <c r="AG611" s="134"/>
      <c r="AH611" s="134"/>
      <c r="AI611" s="134"/>
      <c r="AJ611" s="134"/>
      <c r="AK611" s="134"/>
      <c r="AL611" s="134"/>
      <c r="AM611" s="134"/>
      <c r="AN611" s="134"/>
    </row>
    <row r="612" ht="15.75" customHeigh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305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  <c r="AF612" s="134"/>
      <c r="AG612" s="134"/>
      <c r="AH612" s="134"/>
      <c r="AI612" s="134"/>
      <c r="AJ612" s="134"/>
      <c r="AK612" s="134"/>
      <c r="AL612" s="134"/>
      <c r="AM612" s="134"/>
      <c r="AN612" s="134"/>
    </row>
    <row r="613" ht="15.75" customHeigh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305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  <c r="AF613" s="134"/>
      <c r="AG613" s="134"/>
      <c r="AH613" s="134"/>
      <c r="AI613" s="134"/>
      <c r="AJ613" s="134"/>
      <c r="AK613" s="134"/>
      <c r="AL613" s="134"/>
      <c r="AM613" s="134"/>
      <c r="AN613" s="134"/>
    </row>
    <row r="614" ht="15.75" customHeigh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305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  <c r="AF614" s="134"/>
      <c r="AG614" s="134"/>
      <c r="AH614" s="134"/>
      <c r="AI614" s="134"/>
      <c r="AJ614" s="134"/>
      <c r="AK614" s="134"/>
      <c r="AL614" s="134"/>
      <c r="AM614" s="134"/>
      <c r="AN614" s="134"/>
    </row>
    <row r="615" ht="15.75" customHeigh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305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  <c r="AF615" s="134"/>
      <c r="AG615" s="134"/>
      <c r="AH615" s="134"/>
      <c r="AI615" s="134"/>
      <c r="AJ615" s="134"/>
      <c r="AK615" s="134"/>
      <c r="AL615" s="134"/>
      <c r="AM615" s="134"/>
      <c r="AN615" s="134"/>
    </row>
    <row r="616" ht="15.75" customHeigh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305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  <c r="AF616" s="134"/>
      <c r="AG616" s="134"/>
      <c r="AH616" s="134"/>
      <c r="AI616" s="134"/>
      <c r="AJ616" s="134"/>
      <c r="AK616" s="134"/>
      <c r="AL616" s="134"/>
      <c r="AM616" s="134"/>
      <c r="AN616" s="134"/>
    </row>
    <row r="617" ht="15.75" customHeigh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305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  <c r="AF617" s="134"/>
      <c r="AG617" s="134"/>
      <c r="AH617" s="134"/>
      <c r="AI617" s="134"/>
      <c r="AJ617" s="134"/>
      <c r="AK617" s="134"/>
      <c r="AL617" s="134"/>
      <c r="AM617" s="134"/>
      <c r="AN617" s="134"/>
    </row>
    <row r="618" ht="15.75" customHeigh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305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  <c r="AF618" s="134"/>
      <c r="AG618" s="134"/>
      <c r="AH618" s="134"/>
      <c r="AI618" s="134"/>
      <c r="AJ618" s="134"/>
      <c r="AK618" s="134"/>
      <c r="AL618" s="134"/>
      <c r="AM618" s="134"/>
      <c r="AN618" s="134"/>
    </row>
    <row r="619" ht="15.75" customHeigh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305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  <c r="AF619" s="134"/>
      <c r="AG619" s="134"/>
      <c r="AH619" s="134"/>
      <c r="AI619" s="134"/>
      <c r="AJ619" s="134"/>
      <c r="AK619" s="134"/>
      <c r="AL619" s="134"/>
      <c r="AM619" s="134"/>
      <c r="AN619" s="134"/>
    </row>
    <row r="620" ht="15.75" customHeigh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305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  <c r="AF620" s="134"/>
      <c r="AG620" s="134"/>
      <c r="AH620" s="134"/>
      <c r="AI620" s="134"/>
      <c r="AJ620" s="134"/>
      <c r="AK620" s="134"/>
      <c r="AL620" s="134"/>
      <c r="AM620" s="134"/>
      <c r="AN620" s="134"/>
    </row>
    <row r="621" ht="15.75" customHeigh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305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  <c r="AF621" s="134"/>
      <c r="AG621" s="134"/>
      <c r="AH621" s="134"/>
      <c r="AI621" s="134"/>
      <c r="AJ621" s="134"/>
      <c r="AK621" s="134"/>
      <c r="AL621" s="134"/>
      <c r="AM621" s="134"/>
      <c r="AN621" s="134"/>
    </row>
    <row r="622" ht="15.75" customHeigh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305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  <c r="AF622" s="134"/>
      <c r="AG622" s="134"/>
      <c r="AH622" s="134"/>
      <c r="AI622" s="134"/>
      <c r="AJ622" s="134"/>
      <c r="AK622" s="134"/>
      <c r="AL622" s="134"/>
      <c r="AM622" s="134"/>
      <c r="AN622" s="134"/>
    </row>
    <row r="623" ht="15.75" customHeigh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305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  <c r="AF623" s="134"/>
      <c r="AG623" s="134"/>
      <c r="AH623" s="134"/>
      <c r="AI623" s="134"/>
      <c r="AJ623" s="134"/>
      <c r="AK623" s="134"/>
      <c r="AL623" s="134"/>
      <c r="AM623" s="134"/>
      <c r="AN623" s="134"/>
    </row>
    <row r="624" ht="15.75" customHeigh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305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  <c r="AF624" s="134"/>
      <c r="AG624" s="134"/>
      <c r="AH624" s="134"/>
      <c r="AI624" s="134"/>
      <c r="AJ624" s="134"/>
      <c r="AK624" s="134"/>
      <c r="AL624" s="134"/>
      <c r="AM624" s="134"/>
      <c r="AN624" s="134"/>
    </row>
    <row r="625" ht="15.75" customHeigh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305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  <c r="AF625" s="134"/>
      <c r="AG625" s="134"/>
      <c r="AH625" s="134"/>
      <c r="AI625" s="134"/>
      <c r="AJ625" s="134"/>
      <c r="AK625" s="134"/>
      <c r="AL625" s="134"/>
      <c r="AM625" s="134"/>
      <c r="AN625" s="134"/>
    </row>
    <row r="626" ht="15.75" customHeigh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305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  <c r="AF626" s="134"/>
      <c r="AG626" s="134"/>
      <c r="AH626" s="134"/>
      <c r="AI626" s="134"/>
      <c r="AJ626" s="134"/>
      <c r="AK626" s="134"/>
      <c r="AL626" s="134"/>
      <c r="AM626" s="134"/>
      <c r="AN626" s="134"/>
    </row>
    <row r="627" ht="15.75" customHeigh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305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  <c r="AF627" s="134"/>
      <c r="AG627" s="134"/>
      <c r="AH627" s="134"/>
      <c r="AI627" s="134"/>
      <c r="AJ627" s="134"/>
      <c r="AK627" s="134"/>
      <c r="AL627" s="134"/>
      <c r="AM627" s="134"/>
      <c r="AN627" s="134"/>
    </row>
    <row r="628" ht="15.75" customHeigh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305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  <c r="AF628" s="134"/>
      <c r="AG628" s="134"/>
      <c r="AH628" s="134"/>
      <c r="AI628" s="134"/>
      <c r="AJ628" s="134"/>
      <c r="AK628" s="134"/>
      <c r="AL628" s="134"/>
      <c r="AM628" s="134"/>
      <c r="AN628" s="134"/>
    </row>
    <row r="629" ht="15.75" customHeigh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305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  <c r="AF629" s="134"/>
      <c r="AG629" s="134"/>
      <c r="AH629" s="134"/>
      <c r="AI629" s="134"/>
      <c r="AJ629" s="134"/>
      <c r="AK629" s="134"/>
      <c r="AL629" s="134"/>
      <c r="AM629" s="134"/>
      <c r="AN629" s="134"/>
    </row>
    <row r="630" ht="15.75" customHeigh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305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  <c r="AF630" s="134"/>
      <c r="AG630" s="134"/>
      <c r="AH630" s="134"/>
      <c r="AI630" s="134"/>
      <c r="AJ630" s="134"/>
      <c r="AK630" s="134"/>
      <c r="AL630" s="134"/>
      <c r="AM630" s="134"/>
      <c r="AN630" s="134"/>
    </row>
    <row r="631" ht="15.75" customHeigh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305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  <c r="AF631" s="134"/>
      <c r="AG631" s="134"/>
      <c r="AH631" s="134"/>
      <c r="AI631" s="134"/>
      <c r="AJ631" s="134"/>
      <c r="AK631" s="134"/>
      <c r="AL631" s="134"/>
      <c r="AM631" s="134"/>
      <c r="AN631" s="134"/>
    </row>
    <row r="632" ht="15.75" customHeigh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305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  <c r="AF632" s="134"/>
      <c r="AG632" s="134"/>
      <c r="AH632" s="134"/>
      <c r="AI632" s="134"/>
      <c r="AJ632" s="134"/>
      <c r="AK632" s="134"/>
      <c r="AL632" s="134"/>
      <c r="AM632" s="134"/>
      <c r="AN632" s="134"/>
    </row>
    <row r="633" ht="15.75" customHeigh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305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  <c r="AF633" s="134"/>
      <c r="AG633" s="134"/>
      <c r="AH633" s="134"/>
      <c r="AI633" s="134"/>
      <c r="AJ633" s="134"/>
      <c r="AK633" s="134"/>
      <c r="AL633" s="134"/>
      <c r="AM633" s="134"/>
      <c r="AN633" s="134"/>
    </row>
    <row r="634" ht="15.75" customHeigh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305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  <c r="AF634" s="134"/>
      <c r="AG634" s="134"/>
      <c r="AH634" s="134"/>
      <c r="AI634" s="134"/>
      <c r="AJ634" s="134"/>
      <c r="AK634" s="134"/>
      <c r="AL634" s="134"/>
      <c r="AM634" s="134"/>
      <c r="AN634" s="134"/>
    </row>
    <row r="635" ht="15.75" customHeigh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305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  <c r="AF635" s="134"/>
      <c r="AG635" s="134"/>
      <c r="AH635" s="134"/>
      <c r="AI635" s="134"/>
      <c r="AJ635" s="134"/>
      <c r="AK635" s="134"/>
      <c r="AL635" s="134"/>
      <c r="AM635" s="134"/>
      <c r="AN635" s="134"/>
    </row>
    <row r="636" ht="15.75" customHeigh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305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  <c r="AF636" s="134"/>
      <c r="AG636" s="134"/>
      <c r="AH636" s="134"/>
      <c r="AI636" s="134"/>
      <c r="AJ636" s="134"/>
      <c r="AK636" s="134"/>
      <c r="AL636" s="134"/>
      <c r="AM636" s="134"/>
      <c r="AN636" s="134"/>
    </row>
    <row r="637" ht="15.75" customHeigh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305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  <c r="AF637" s="134"/>
      <c r="AG637" s="134"/>
      <c r="AH637" s="134"/>
      <c r="AI637" s="134"/>
      <c r="AJ637" s="134"/>
      <c r="AK637" s="134"/>
      <c r="AL637" s="134"/>
      <c r="AM637" s="134"/>
      <c r="AN637" s="134"/>
    </row>
    <row r="638" ht="15.75" customHeigh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305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  <c r="AF638" s="134"/>
      <c r="AG638" s="134"/>
      <c r="AH638" s="134"/>
      <c r="AI638" s="134"/>
      <c r="AJ638" s="134"/>
      <c r="AK638" s="134"/>
      <c r="AL638" s="134"/>
      <c r="AM638" s="134"/>
      <c r="AN638" s="134"/>
    </row>
    <row r="639" ht="15.75" customHeigh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305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  <c r="AF639" s="134"/>
      <c r="AG639" s="134"/>
      <c r="AH639" s="134"/>
      <c r="AI639" s="134"/>
      <c r="AJ639" s="134"/>
      <c r="AK639" s="134"/>
      <c r="AL639" s="134"/>
      <c r="AM639" s="134"/>
      <c r="AN639" s="134"/>
    </row>
    <row r="640" ht="15.75" customHeigh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305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  <c r="AF640" s="134"/>
      <c r="AG640" s="134"/>
      <c r="AH640" s="134"/>
      <c r="AI640" s="134"/>
      <c r="AJ640" s="134"/>
      <c r="AK640" s="134"/>
      <c r="AL640" s="134"/>
      <c r="AM640" s="134"/>
      <c r="AN640" s="134"/>
    </row>
    <row r="641" ht="15.75" customHeigh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305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  <c r="AF641" s="134"/>
      <c r="AG641" s="134"/>
      <c r="AH641" s="134"/>
      <c r="AI641" s="134"/>
      <c r="AJ641" s="134"/>
      <c r="AK641" s="134"/>
      <c r="AL641" s="134"/>
      <c r="AM641" s="134"/>
      <c r="AN641" s="134"/>
    </row>
    <row r="642" ht="15.75" customHeigh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305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  <c r="AF642" s="134"/>
      <c r="AG642" s="134"/>
      <c r="AH642" s="134"/>
      <c r="AI642" s="134"/>
      <c r="AJ642" s="134"/>
      <c r="AK642" s="134"/>
      <c r="AL642" s="134"/>
      <c r="AM642" s="134"/>
      <c r="AN642" s="134"/>
    </row>
    <row r="643" ht="15.75" customHeigh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305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  <c r="AF643" s="134"/>
      <c r="AG643" s="134"/>
      <c r="AH643" s="134"/>
      <c r="AI643" s="134"/>
      <c r="AJ643" s="134"/>
      <c r="AK643" s="134"/>
      <c r="AL643" s="134"/>
      <c r="AM643" s="134"/>
      <c r="AN643" s="134"/>
    </row>
    <row r="644" ht="15.75" customHeigh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305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  <c r="AF644" s="134"/>
      <c r="AG644" s="134"/>
      <c r="AH644" s="134"/>
      <c r="AI644" s="134"/>
      <c r="AJ644" s="134"/>
      <c r="AK644" s="134"/>
      <c r="AL644" s="134"/>
      <c r="AM644" s="134"/>
      <c r="AN644" s="134"/>
    </row>
    <row r="645" ht="15.75" customHeigh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305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  <c r="AF645" s="134"/>
      <c r="AG645" s="134"/>
      <c r="AH645" s="134"/>
      <c r="AI645" s="134"/>
      <c r="AJ645" s="134"/>
      <c r="AK645" s="134"/>
      <c r="AL645" s="134"/>
      <c r="AM645" s="134"/>
      <c r="AN645" s="134"/>
    </row>
    <row r="646" ht="15.75" customHeigh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305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  <c r="AF646" s="134"/>
      <c r="AG646" s="134"/>
      <c r="AH646" s="134"/>
      <c r="AI646" s="134"/>
      <c r="AJ646" s="134"/>
      <c r="AK646" s="134"/>
      <c r="AL646" s="134"/>
      <c r="AM646" s="134"/>
      <c r="AN646" s="134"/>
    </row>
    <row r="647" ht="15.75" customHeigh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305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  <c r="AF647" s="134"/>
      <c r="AG647" s="134"/>
      <c r="AH647" s="134"/>
      <c r="AI647" s="134"/>
      <c r="AJ647" s="134"/>
      <c r="AK647" s="134"/>
      <c r="AL647" s="134"/>
      <c r="AM647" s="134"/>
      <c r="AN647" s="134"/>
    </row>
    <row r="648" ht="15.75" customHeigh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305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  <c r="AF648" s="134"/>
      <c r="AG648" s="134"/>
      <c r="AH648" s="134"/>
      <c r="AI648" s="134"/>
      <c r="AJ648" s="134"/>
      <c r="AK648" s="134"/>
      <c r="AL648" s="134"/>
      <c r="AM648" s="134"/>
      <c r="AN648" s="134"/>
    </row>
    <row r="649" ht="15.75" customHeigh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305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  <c r="AF649" s="134"/>
      <c r="AG649" s="134"/>
      <c r="AH649" s="134"/>
      <c r="AI649" s="134"/>
      <c r="AJ649" s="134"/>
      <c r="AK649" s="134"/>
      <c r="AL649" s="134"/>
      <c r="AM649" s="134"/>
      <c r="AN649" s="134"/>
    </row>
    <row r="650" ht="15.75" customHeigh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305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  <c r="AF650" s="134"/>
      <c r="AG650" s="134"/>
      <c r="AH650" s="134"/>
      <c r="AI650" s="134"/>
      <c r="AJ650" s="134"/>
      <c r="AK650" s="134"/>
      <c r="AL650" s="134"/>
      <c r="AM650" s="134"/>
      <c r="AN650" s="134"/>
    </row>
    <row r="651" ht="15.75" customHeigh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305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  <c r="AF651" s="134"/>
      <c r="AG651" s="134"/>
      <c r="AH651" s="134"/>
      <c r="AI651" s="134"/>
      <c r="AJ651" s="134"/>
      <c r="AK651" s="134"/>
      <c r="AL651" s="134"/>
      <c r="AM651" s="134"/>
      <c r="AN651" s="134"/>
    </row>
    <row r="652" ht="15.75" customHeigh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305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  <c r="AF652" s="134"/>
      <c r="AG652" s="134"/>
      <c r="AH652" s="134"/>
      <c r="AI652" s="134"/>
      <c r="AJ652" s="134"/>
      <c r="AK652" s="134"/>
      <c r="AL652" s="134"/>
      <c r="AM652" s="134"/>
      <c r="AN652" s="134"/>
    </row>
    <row r="653" ht="15.75" customHeigh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305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  <c r="AF653" s="134"/>
      <c r="AG653" s="134"/>
      <c r="AH653" s="134"/>
      <c r="AI653" s="134"/>
      <c r="AJ653" s="134"/>
      <c r="AK653" s="134"/>
      <c r="AL653" s="134"/>
      <c r="AM653" s="134"/>
      <c r="AN653" s="134"/>
    </row>
    <row r="654" ht="15.75" customHeigh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305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  <c r="AF654" s="134"/>
      <c r="AG654" s="134"/>
      <c r="AH654" s="134"/>
      <c r="AI654" s="134"/>
      <c r="AJ654" s="134"/>
      <c r="AK654" s="134"/>
      <c r="AL654" s="134"/>
      <c r="AM654" s="134"/>
      <c r="AN654" s="134"/>
    </row>
    <row r="655" ht="15.75" customHeigh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305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  <c r="AF655" s="134"/>
      <c r="AG655" s="134"/>
      <c r="AH655" s="134"/>
      <c r="AI655" s="134"/>
      <c r="AJ655" s="134"/>
      <c r="AK655" s="134"/>
      <c r="AL655" s="134"/>
      <c r="AM655" s="134"/>
      <c r="AN655" s="134"/>
    </row>
    <row r="656" ht="15.75" customHeigh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305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  <c r="AF656" s="134"/>
      <c r="AG656" s="134"/>
      <c r="AH656" s="134"/>
      <c r="AI656" s="134"/>
      <c r="AJ656" s="134"/>
      <c r="AK656" s="134"/>
      <c r="AL656" s="134"/>
      <c r="AM656" s="134"/>
      <c r="AN656" s="134"/>
    </row>
    <row r="657" ht="15.75" customHeigh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305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  <c r="AF657" s="134"/>
      <c r="AG657" s="134"/>
      <c r="AH657" s="134"/>
      <c r="AI657" s="134"/>
      <c r="AJ657" s="134"/>
      <c r="AK657" s="134"/>
      <c r="AL657" s="134"/>
      <c r="AM657" s="134"/>
      <c r="AN657" s="134"/>
    </row>
    <row r="658" ht="15.75" customHeigh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305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  <c r="AF658" s="134"/>
      <c r="AG658" s="134"/>
      <c r="AH658" s="134"/>
      <c r="AI658" s="134"/>
      <c r="AJ658" s="134"/>
      <c r="AK658" s="134"/>
      <c r="AL658" s="134"/>
      <c r="AM658" s="134"/>
      <c r="AN658" s="134"/>
    </row>
    <row r="659" ht="15.75" customHeigh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305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  <c r="AF659" s="134"/>
      <c r="AG659" s="134"/>
      <c r="AH659" s="134"/>
      <c r="AI659" s="134"/>
      <c r="AJ659" s="134"/>
      <c r="AK659" s="134"/>
      <c r="AL659" s="134"/>
      <c r="AM659" s="134"/>
      <c r="AN659" s="134"/>
    </row>
    <row r="660" ht="15.75" customHeigh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305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  <c r="AF660" s="134"/>
      <c r="AG660" s="134"/>
      <c r="AH660" s="134"/>
      <c r="AI660" s="134"/>
      <c r="AJ660" s="134"/>
      <c r="AK660" s="134"/>
      <c r="AL660" s="134"/>
      <c r="AM660" s="134"/>
      <c r="AN660" s="134"/>
    </row>
    <row r="661" ht="15.75" customHeigh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305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  <c r="AF661" s="134"/>
      <c r="AG661" s="134"/>
      <c r="AH661" s="134"/>
      <c r="AI661" s="134"/>
      <c r="AJ661" s="134"/>
      <c r="AK661" s="134"/>
      <c r="AL661" s="134"/>
      <c r="AM661" s="134"/>
      <c r="AN661" s="134"/>
    </row>
    <row r="662" ht="15.75" customHeigh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305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  <c r="AF662" s="134"/>
      <c r="AG662" s="134"/>
      <c r="AH662" s="134"/>
      <c r="AI662" s="134"/>
      <c r="AJ662" s="134"/>
      <c r="AK662" s="134"/>
      <c r="AL662" s="134"/>
      <c r="AM662" s="134"/>
      <c r="AN662" s="134"/>
    </row>
    <row r="663" ht="15.75" customHeigh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305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  <c r="AG663" s="134"/>
      <c r="AH663" s="134"/>
      <c r="AI663" s="134"/>
      <c r="AJ663" s="134"/>
      <c r="AK663" s="134"/>
      <c r="AL663" s="134"/>
      <c r="AM663" s="134"/>
      <c r="AN663" s="134"/>
    </row>
    <row r="664" ht="15.75" customHeigh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305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  <c r="AF664" s="134"/>
      <c r="AG664" s="134"/>
      <c r="AH664" s="134"/>
      <c r="AI664" s="134"/>
      <c r="AJ664" s="134"/>
      <c r="AK664" s="134"/>
      <c r="AL664" s="134"/>
      <c r="AM664" s="134"/>
      <c r="AN664" s="134"/>
    </row>
    <row r="665" ht="15.75" customHeigh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305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  <c r="AF665" s="134"/>
      <c r="AG665" s="134"/>
      <c r="AH665" s="134"/>
      <c r="AI665" s="134"/>
      <c r="AJ665" s="134"/>
      <c r="AK665" s="134"/>
      <c r="AL665" s="134"/>
      <c r="AM665" s="134"/>
      <c r="AN665" s="134"/>
    </row>
    <row r="666" ht="15.75" customHeigh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305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  <c r="AF666" s="134"/>
      <c r="AG666" s="134"/>
      <c r="AH666" s="134"/>
      <c r="AI666" s="134"/>
      <c r="AJ666" s="134"/>
      <c r="AK666" s="134"/>
      <c r="AL666" s="134"/>
      <c r="AM666" s="134"/>
      <c r="AN666" s="134"/>
    </row>
    <row r="667" ht="15.75" customHeigh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305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  <c r="AF667" s="134"/>
      <c r="AG667" s="134"/>
      <c r="AH667" s="134"/>
      <c r="AI667" s="134"/>
      <c r="AJ667" s="134"/>
      <c r="AK667" s="134"/>
      <c r="AL667" s="134"/>
      <c r="AM667" s="134"/>
      <c r="AN667" s="134"/>
    </row>
    <row r="668" ht="15.75" customHeigh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305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  <c r="AF668" s="134"/>
      <c r="AG668" s="134"/>
      <c r="AH668" s="134"/>
      <c r="AI668" s="134"/>
      <c r="AJ668" s="134"/>
      <c r="AK668" s="134"/>
      <c r="AL668" s="134"/>
      <c r="AM668" s="134"/>
      <c r="AN668" s="134"/>
    </row>
    <row r="669" ht="15.75" customHeigh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305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  <c r="AF669" s="134"/>
      <c r="AG669" s="134"/>
      <c r="AH669" s="134"/>
      <c r="AI669" s="134"/>
      <c r="AJ669" s="134"/>
      <c r="AK669" s="134"/>
      <c r="AL669" s="134"/>
      <c r="AM669" s="134"/>
      <c r="AN669" s="134"/>
    </row>
    <row r="670" ht="15.75" customHeigh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305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  <c r="AF670" s="134"/>
      <c r="AG670" s="134"/>
      <c r="AH670" s="134"/>
      <c r="AI670" s="134"/>
      <c r="AJ670" s="134"/>
      <c r="AK670" s="134"/>
      <c r="AL670" s="134"/>
      <c r="AM670" s="134"/>
      <c r="AN670" s="134"/>
    </row>
    <row r="671" ht="15.75" customHeigh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305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  <c r="AF671" s="134"/>
      <c r="AG671" s="134"/>
      <c r="AH671" s="134"/>
      <c r="AI671" s="134"/>
      <c r="AJ671" s="134"/>
      <c r="AK671" s="134"/>
      <c r="AL671" s="134"/>
      <c r="AM671" s="134"/>
      <c r="AN671" s="134"/>
    </row>
    <row r="672" ht="15.75" customHeigh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305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  <c r="AF672" s="134"/>
      <c r="AG672" s="134"/>
      <c r="AH672" s="134"/>
      <c r="AI672" s="134"/>
      <c r="AJ672" s="134"/>
      <c r="AK672" s="134"/>
      <c r="AL672" s="134"/>
      <c r="AM672" s="134"/>
      <c r="AN672" s="134"/>
    </row>
    <row r="673" ht="15.75" customHeigh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305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  <c r="AF673" s="134"/>
      <c r="AG673" s="134"/>
      <c r="AH673" s="134"/>
      <c r="AI673" s="134"/>
      <c r="AJ673" s="134"/>
      <c r="AK673" s="134"/>
      <c r="AL673" s="134"/>
      <c r="AM673" s="134"/>
      <c r="AN673" s="134"/>
    </row>
    <row r="674" ht="15.75" customHeigh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305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  <c r="AF674" s="134"/>
      <c r="AG674" s="134"/>
      <c r="AH674" s="134"/>
      <c r="AI674" s="134"/>
      <c r="AJ674" s="134"/>
      <c r="AK674" s="134"/>
      <c r="AL674" s="134"/>
      <c r="AM674" s="134"/>
      <c r="AN674" s="134"/>
    </row>
    <row r="675" ht="15.75" customHeigh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305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  <c r="AF675" s="134"/>
      <c r="AG675" s="134"/>
      <c r="AH675" s="134"/>
      <c r="AI675" s="134"/>
      <c r="AJ675" s="134"/>
      <c r="AK675" s="134"/>
      <c r="AL675" s="134"/>
      <c r="AM675" s="134"/>
      <c r="AN675" s="134"/>
    </row>
    <row r="676" ht="15.75" customHeigh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305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  <c r="AF676" s="134"/>
      <c r="AG676" s="134"/>
      <c r="AH676" s="134"/>
      <c r="AI676" s="134"/>
      <c r="AJ676" s="134"/>
      <c r="AK676" s="134"/>
      <c r="AL676" s="134"/>
      <c r="AM676" s="134"/>
      <c r="AN676" s="134"/>
    </row>
    <row r="677" ht="15.75" customHeigh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305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  <c r="AF677" s="134"/>
      <c r="AG677" s="134"/>
      <c r="AH677" s="134"/>
      <c r="AI677" s="134"/>
      <c r="AJ677" s="134"/>
      <c r="AK677" s="134"/>
      <c r="AL677" s="134"/>
      <c r="AM677" s="134"/>
      <c r="AN677" s="134"/>
    </row>
    <row r="678" ht="15.75" customHeigh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305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  <c r="AF678" s="134"/>
      <c r="AG678" s="134"/>
      <c r="AH678" s="134"/>
      <c r="AI678" s="134"/>
      <c r="AJ678" s="134"/>
      <c r="AK678" s="134"/>
      <c r="AL678" s="134"/>
      <c r="AM678" s="134"/>
      <c r="AN678" s="134"/>
    </row>
    <row r="679" ht="15.75" customHeigh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305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  <c r="AF679" s="134"/>
      <c r="AG679" s="134"/>
      <c r="AH679" s="134"/>
      <c r="AI679" s="134"/>
      <c r="AJ679" s="134"/>
      <c r="AK679" s="134"/>
      <c r="AL679" s="134"/>
      <c r="AM679" s="134"/>
      <c r="AN679" s="134"/>
    </row>
    <row r="680" ht="15.75" customHeigh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305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  <c r="AF680" s="134"/>
      <c r="AG680" s="134"/>
      <c r="AH680" s="134"/>
      <c r="AI680" s="134"/>
      <c r="AJ680" s="134"/>
      <c r="AK680" s="134"/>
      <c r="AL680" s="134"/>
      <c r="AM680" s="134"/>
      <c r="AN680" s="134"/>
    </row>
    <row r="681" ht="15.75" customHeigh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305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  <c r="AF681" s="134"/>
      <c r="AG681" s="134"/>
      <c r="AH681" s="134"/>
      <c r="AI681" s="134"/>
      <c r="AJ681" s="134"/>
      <c r="AK681" s="134"/>
      <c r="AL681" s="134"/>
      <c r="AM681" s="134"/>
      <c r="AN681" s="134"/>
    </row>
    <row r="682" ht="15.75" customHeigh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305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  <c r="AF682" s="134"/>
      <c r="AG682" s="134"/>
      <c r="AH682" s="134"/>
      <c r="AI682" s="134"/>
      <c r="AJ682" s="134"/>
      <c r="AK682" s="134"/>
      <c r="AL682" s="134"/>
      <c r="AM682" s="134"/>
      <c r="AN682" s="134"/>
    </row>
    <row r="683" ht="15.75" customHeigh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305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  <c r="AF683" s="134"/>
      <c r="AG683" s="134"/>
      <c r="AH683" s="134"/>
      <c r="AI683" s="134"/>
      <c r="AJ683" s="134"/>
      <c r="AK683" s="134"/>
      <c r="AL683" s="134"/>
      <c r="AM683" s="134"/>
      <c r="AN683" s="134"/>
    </row>
    <row r="684" ht="15.75" customHeigh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305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  <c r="AF684" s="134"/>
      <c r="AG684" s="134"/>
      <c r="AH684" s="134"/>
      <c r="AI684" s="134"/>
      <c r="AJ684" s="134"/>
      <c r="AK684" s="134"/>
      <c r="AL684" s="134"/>
      <c r="AM684" s="134"/>
      <c r="AN684" s="134"/>
    </row>
    <row r="685" ht="15.75" customHeigh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305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  <c r="AF685" s="134"/>
      <c r="AG685" s="134"/>
      <c r="AH685" s="134"/>
      <c r="AI685" s="134"/>
      <c r="AJ685" s="134"/>
      <c r="AK685" s="134"/>
      <c r="AL685" s="134"/>
      <c r="AM685" s="134"/>
      <c r="AN685" s="134"/>
    </row>
    <row r="686" ht="15.75" customHeigh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305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  <c r="AF686" s="134"/>
      <c r="AG686" s="134"/>
      <c r="AH686" s="134"/>
      <c r="AI686" s="134"/>
      <c r="AJ686" s="134"/>
      <c r="AK686" s="134"/>
      <c r="AL686" s="134"/>
      <c r="AM686" s="134"/>
      <c r="AN686" s="134"/>
    </row>
    <row r="687" ht="15.75" customHeigh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305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  <c r="AF687" s="134"/>
      <c r="AG687" s="134"/>
      <c r="AH687" s="134"/>
      <c r="AI687" s="134"/>
      <c r="AJ687" s="134"/>
      <c r="AK687" s="134"/>
      <c r="AL687" s="134"/>
      <c r="AM687" s="134"/>
      <c r="AN687" s="134"/>
    </row>
    <row r="688" ht="15.75" customHeigh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305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  <c r="AF688" s="134"/>
      <c r="AG688" s="134"/>
      <c r="AH688" s="134"/>
      <c r="AI688" s="134"/>
      <c r="AJ688" s="134"/>
      <c r="AK688" s="134"/>
      <c r="AL688" s="134"/>
      <c r="AM688" s="134"/>
      <c r="AN688" s="134"/>
    </row>
    <row r="689" ht="15.75" customHeigh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305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  <c r="AF689" s="134"/>
      <c r="AG689" s="134"/>
      <c r="AH689" s="134"/>
      <c r="AI689" s="134"/>
      <c r="AJ689" s="134"/>
      <c r="AK689" s="134"/>
      <c r="AL689" s="134"/>
      <c r="AM689" s="134"/>
      <c r="AN689" s="134"/>
    </row>
    <row r="690" ht="15.75" customHeigh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305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  <c r="AF690" s="134"/>
      <c r="AG690" s="134"/>
      <c r="AH690" s="134"/>
      <c r="AI690" s="134"/>
      <c r="AJ690" s="134"/>
      <c r="AK690" s="134"/>
      <c r="AL690" s="134"/>
      <c r="AM690" s="134"/>
      <c r="AN690" s="134"/>
    </row>
    <row r="691" ht="15.75" customHeigh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305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  <c r="AF691" s="134"/>
      <c r="AG691" s="134"/>
      <c r="AH691" s="134"/>
      <c r="AI691" s="134"/>
      <c r="AJ691" s="134"/>
      <c r="AK691" s="134"/>
      <c r="AL691" s="134"/>
      <c r="AM691" s="134"/>
      <c r="AN691" s="134"/>
    </row>
    <row r="692" ht="15.75" customHeigh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305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  <c r="AF692" s="134"/>
      <c r="AG692" s="134"/>
      <c r="AH692" s="134"/>
      <c r="AI692" s="134"/>
      <c r="AJ692" s="134"/>
      <c r="AK692" s="134"/>
      <c r="AL692" s="134"/>
      <c r="AM692" s="134"/>
      <c r="AN692" s="134"/>
    </row>
    <row r="693" ht="15.75" customHeigh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305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  <c r="AF693" s="134"/>
      <c r="AG693" s="134"/>
      <c r="AH693" s="134"/>
      <c r="AI693" s="134"/>
      <c r="AJ693" s="134"/>
      <c r="AK693" s="134"/>
      <c r="AL693" s="134"/>
      <c r="AM693" s="134"/>
      <c r="AN693" s="134"/>
    </row>
    <row r="694" ht="15.75" customHeigh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305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  <c r="AF694" s="134"/>
      <c r="AG694" s="134"/>
      <c r="AH694" s="134"/>
      <c r="AI694" s="134"/>
      <c r="AJ694" s="134"/>
      <c r="AK694" s="134"/>
      <c r="AL694" s="134"/>
      <c r="AM694" s="134"/>
      <c r="AN694" s="134"/>
    </row>
    <row r="695" ht="15.75" customHeigh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305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  <c r="AF695" s="134"/>
      <c r="AG695" s="134"/>
      <c r="AH695" s="134"/>
      <c r="AI695" s="134"/>
      <c r="AJ695" s="134"/>
      <c r="AK695" s="134"/>
      <c r="AL695" s="134"/>
      <c r="AM695" s="134"/>
      <c r="AN695" s="134"/>
    </row>
    <row r="696" ht="15.75" customHeigh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305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  <c r="AF696" s="134"/>
      <c r="AG696" s="134"/>
      <c r="AH696" s="134"/>
      <c r="AI696" s="134"/>
      <c r="AJ696" s="134"/>
      <c r="AK696" s="134"/>
      <c r="AL696" s="134"/>
      <c r="AM696" s="134"/>
      <c r="AN696" s="134"/>
    </row>
    <row r="697" ht="15.75" customHeigh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305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  <c r="AF697" s="134"/>
      <c r="AG697" s="134"/>
      <c r="AH697" s="134"/>
      <c r="AI697" s="134"/>
      <c r="AJ697" s="134"/>
      <c r="AK697" s="134"/>
      <c r="AL697" s="134"/>
      <c r="AM697" s="134"/>
      <c r="AN697" s="134"/>
    </row>
    <row r="698" ht="15.75" customHeigh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305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  <c r="AF698" s="134"/>
      <c r="AG698" s="134"/>
      <c r="AH698" s="134"/>
      <c r="AI698" s="134"/>
      <c r="AJ698" s="134"/>
      <c r="AK698" s="134"/>
      <c r="AL698" s="134"/>
      <c r="AM698" s="134"/>
      <c r="AN698" s="134"/>
    </row>
    <row r="699" ht="15.75" customHeigh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305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  <c r="AF699" s="134"/>
      <c r="AG699" s="134"/>
      <c r="AH699" s="134"/>
      <c r="AI699" s="134"/>
      <c r="AJ699" s="134"/>
      <c r="AK699" s="134"/>
      <c r="AL699" s="134"/>
      <c r="AM699" s="134"/>
      <c r="AN699" s="134"/>
    </row>
    <row r="700" ht="15.75" customHeigh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305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  <c r="AF700" s="134"/>
      <c r="AG700" s="134"/>
      <c r="AH700" s="134"/>
      <c r="AI700" s="134"/>
      <c r="AJ700" s="134"/>
      <c r="AK700" s="134"/>
      <c r="AL700" s="134"/>
      <c r="AM700" s="134"/>
      <c r="AN700" s="134"/>
    </row>
    <row r="701" ht="15.75" customHeigh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305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  <c r="AF701" s="134"/>
      <c r="AG701" s="134"/>
      <c r="AH701" s="134"/>
      <c r="AI701" s="134"/>
      <c r="AJ701" s="134"/>
      <c r="AK701" s="134"/>
      <c r="AL701" s="134"/>
      <c r="AM701" s="134"/>
      <c r="AN701" s="134"/>
    </row>
    <row r="702" ht="15.75" customHeigh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305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  <c r="AF702" s="134"/>
      <c r="AG702" s="134"/>
      <c r="AH702" s="134"/>
      <c r="AI702" s="134"/>
      <c r="AJ702" s="134"/>
      <c r="AK702" s="134"/>
      <c r="AL702" s="134"/>
      <c r="AM702" s="134"/>
      <c r="AN702" s="134"/>
    </row>
    <row r="703" ht="15.75" customHeigh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305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  <c r="AF703" s="134"/>
      <c r="AG703" s="134"/>
      <c r="AH703" s="134"/>
      <c r="AI703" s="134"/>
      <c r="AJ703" s="134"/>
      <c r="AK703" s="134"/>
      <c r="AL703" s="134"/>
      <c r="AM703" s="134"/>
      <c r="AN703" s="134"/>
    </row>
    <row r="704" ht="15.75" customHeigh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305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  <c r="AF704" s="134"/>
      <c r="AG704" s="134"/>
      <c r="AH704" s="134"/>
      <c r="AI704" s="134"/>
      <c r="AJ704" s="134"/>
      <c r="AK704" s="134"/>
      <c r="AL704" s="134"/>
      <c r="AM704" s="134"/>
      <c r="AN704" s="134"/>
    </row>
    <row r="705" ht="15.75" customHeigh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305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  <c r="AF705" s="134"/>
      <c r="AG705" s="134"/>
      <c r="AH705" s="134"/>
      <c r="AI705" s="134"/>
      <c r="AJ705" s="134"/>
      <c r="AK705" s="134"/>
      <c r="AL705" s="134"/>
      <c r="AM705" s="134"/>
      <c r="AN705" s="134"/>
    </row>
    <row r="706" ht="15.75" customHeigh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305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  <c r="AF706" s="134"/>
      <c r="AG706" s="134"/>
      <c r="AH706" s="134"/>
      <c r="AI706" s="134"/>
      <c r="AJ706" s="134"/>
      <c r="AK706" s="134"/>
      <c r="AL706" s="134"/>
      <c r="AM706" s="134"/>
      <c r="AN706" s="134"/>
    </row>
    <row r="707" ht="15.75" customHeigh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305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  <c r="AE707" s="134"/>
      <c r="AF707" s="134"/>
      <c r="AG707" s="134"/>
      <c r="AH707" s="134"/>
      <c r="AI707" s="134"/>
      <c r="AJ707" s="134"/>
      <c r="AK707" s="134"/>
      <c r="AL707" s="134"/>
      <c r="AM707" s="134"/>
      <c r="AN707" s="134"/>
    </row>
    <row r="708" ht="15.75" customHeigh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305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  <c r="AE708" s="134"/>
      <c r="AF708" s="134"/>
      <c r="AG708" s="134"/>
      <c r="AH708" s="134"/>
      <c r="AI708" s="134"/>
      <c r="AJ708" s="134"/>
      <c r="AK708" s="134"/>
      <c r="AL708" s="134"/>
      <c r="AM708" s="134"/>
      <c r="AN708" s="134"/>
    </row>
    <row r="709" ht="15.75" customHeigh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305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  <c r="AE709" s="134"/>
      <c r="AF709" s="134"/>
      <c r="AG709" s="134"/>
      <c r="AH709" s="134"/>
      <c r="AI709" s="134"/>
      <c r="AJ709" s="134"/>
      <c r="AK709" s="134"/>
      <c r="AL709" s="134"/>
      <c r="AM709" s="134"/>
      <c r="AN709" s="134"/>
    </row>
    <row r="710" ht="15.75" customHeigh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305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  <c r="AE710" s="134"/>
      <c r="AF710" s="134"/>
      <c r="AG710" s="134"/>
      <c r="AH710" s="134"/>
      <c r="AI710" s="134"/>
      <c r="AJ710" s="134"/>
      <c r="AK710" s="134"/>
      <c r="AL710" s="134"/>
      <c r="AM710" s="134"/>
      <c r="AN710" s="134"/>
    </row>
    <row r="711" ht="15.75" customHeigh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305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  <c r="AE711" s="134"/>
      <c r="AF711" s="134"/>
      <c r="AG711" s="134"/>
      <c r="AH711" s="134"/>
      <c r="AI711" s="134"/>
      <c r="AJ711" s="134"/>
      <c r="AK711" s="134"/>
      <c r="AL711" s="134"/>
      <c r="AM711" s="134"/>
      <c r="AN711" s="134"/>
    </row>
    <row r="712" ht="15.75" customHeigh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305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  <c r="AE712" s="134"/>
      <c r="AF712" s="134"/>
      <c r="AG712" s="134"/>
      <c r="AH712" s="134"/>
      <c r="AI712" s="134"/>
      <c r="AJ712" s="134"/>
      <c r="AK712" s="134"/>
      <c r="AL712" s="134"/>
      <c r="AM712" s="134"/>
      <c r="AN712" s="134"/>
    </row>
    <row r="713" ht="15.75" customHeigh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305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  <c r="AE713" s="134"/>
      <c r="AF713" s="134"/>
      <c r="AG713" s="134"/>
      <c r="AH713" s="134"/>
      <c r="AI713" s="134"/>
      <c r="AJ713" s="134"/>
      <c r="AK713" s="134"/>
      <c r="AL713" s="134"/>
      <c r="AM713" s="134"/>
      <c r="AN713" s="134"/>
    </row>
    <row r="714" ht="15.75" customHeigh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305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  <c r="AE714" s="134"/>
      <c r="AF714" s="134"/>
      <c r="AG714" s="134"/>
      <c r="AH714" s="134"/>
      <c r="AI714" s="134"/>
      <c r="AJ714" s="134"/>
      <c r="AK714" s="134"/>
      <c r="AL714" s="134"/>
      <c r="AM714" s="134"/>
      <c r="AN714" s="134"/>
    </row>
    <row r="715" ht="15.75" customHeigh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305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  <c r="AE715" s="134"/>
      <c r="AF715" s="134"/>
      <c r="AG715" s="134"/>
      <c r="AH715" s="134"/>
      <c r="AI715" s="134"/>
      <c r="AJ715" s="134"/>
      <c r="AK715" s="134"/>
      <c r="AL715" s="134"/>
      <c r="AM715" s="134"/>
      <c r="AN715" s="134"/>
    </row>
    <row r="716" ht="15.75" customHeigh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305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  <c r="AE716" s="134"/>
      <c r="AF716" s="134"/>
      <c r="AG716" s="134"/>
      <c r="AH716" s="134"/>
      <c r="AI716" s="134"/>
      <c r="AJ716" s="134"/>
      <c r="AK716" s="134"/>
      <c r="AL716" s="134"/>
      <c r="AM716" s="134"/>
      <c r="AN716" s="134"/>
    </row>
    <row r="717" ht="15.75" customHeigh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305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  <c r="AE717" s="134"/>
      <c r="AF717" s="134"/>
      <c r="AG717" s="134"/>
      <c r="AH717" s="134"/>
      <c r="AI717" s="134"/>
      <c r="AJ717" s="134"/>
      <c r="AK717" s="134"/>
      <c r="AL717" s="134"/>
      <c r="AM717" s="134"/>
      <c r="AN717" s="134"/>
    </row>
    <row r="718" ht="15.75" customHeigh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305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  <c r="AE718" s="134"/>
      <c r="AF718" s="134"/>
      <c r="AG718" s="134"/>
      <c r="AH718" s="134"/>
      <c r="AI718" s="134"/>
      <c r="AJ718" s="134"/>
      <c r="AK718" s="134"/>
      <c r="AL718" s="134"/>
      <c r="AM718" s="134"/>
      <c r="AN718" s="134"/>
    </row>
    <row r="719" ht="15.75" customHeigh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305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  <c r="AE719" s="134"/>
      <c r="AF719" s="134"/>
      <c r="AG719" s="134"/>
      <c r="AH719" s="134"/>
      <c r="AI719" s="134"/>
      <c r="AJ719" s="134"/>
      <c r="AK719" s="134"/>
      <c r="AL719" s="134"/>
      <c r="AM719" s="134"/>
      <c r="AN719" s="134"/>
    </row>
    <row r="720" ht="15.75" customHeigh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305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  <c r="AE720" s="134"/>
      <c r="AF720" s="134"/>
      <c r="AG720" s="134"/>
      <c r="AH720" s="134"/>
      <c r="AI720" s="134"/>
      <c r="AJ720" s="134"/>
      <c r="AK720" s="134"/>
      <c r="AL720" s="134"/>
      <c r="AM720" s="134"/>
      <c r="AN720" s="134"/>
    </row>
    <row r="721" ht="15.75" customHeigh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305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  <c r="AE721" s="134"/>
      <c r="AF721" s="134"/>
      <c r="AG721" s="134"/>
      <c r="AH721" s="134"/>
      <c r="AI721" s="134"/>
      <c r="AJ721" s="134"/>
      <c r="AK721" s="134"/>
      <c r="AL721" s="134"/>
      <c r="AM721" s="134"/>
      <c r="AN721" s="134"/>
    </row>
    <row r="722" ht="15.75" customHeigh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305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  <c r="AF722" s="134"/>
      <c r="AG722" s="134"/>
      <c r="AH722" s="134"/>
      <c r="AI722" s="134"/>
      <c r="AJ722" s="134"/>
      <c r="AK722" s="134"/>
      <c r="AL722" s="134"/>
      <c r="AM722" s="134"/>
      <c r="AN722" s="134"/>
    </row>
    <row r="723" ht="15.75" customHeigh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305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  <c r="AE723" s="134"/>
      <c r="AF723" s="134"/>
      <c r="AG723" s="134"/>
      <c r="AH723" s="134"/>
      <c r="AI723" s="134"/>
      <c r="AJ723" s="134"/>
      <c r="AK723" s="134"/>
      <c r="AL723" s="134"/>
      <c r="AM723" s="134"/>
      <c r="AN723" s="134"/>
    </row>
    <row r="724" ht="15.75" customHeigh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305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  <c r="AE724" s="134"/>
      <c r="AF724" s="134"/>
      <c r="AG724" s="134"/>
      <c r="AH724" s="134"/>
      <c r="AI724" s="134"/>
      <c r="AJ724" s="134"/>
      <c r="AK724" s="134"/>
      <c r="AL724" s="134"/>
      <c r="AM724" s="134"/>
      <c r="AN724" s="134"/>
    </row>
    <row r="725" ht="15.75" customHeigh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305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  <c r="AE725" s="134"/>
      <c r="AF725" s="134"/>
      <c r="AG725" s="134"/>
      <c r="AH725" s="134"/>
      <c r="AI725" s="134"/>
      <c r="AJ725" s="134"/>
      <c r="AK725" s="134"/>
      <c r="AL725" s="134"/>
      <c r="AM725" s="134"/>
      <c r="AN725" s="134"/>
    </row>
    <row r="726" ht="15.75" customHeigh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305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  <c r="AE726" s="134"/>
      <c r="AF726" s="134"/>
      <c r="AG726" s="134"/>
      <c r="AH726" s="134"/>
      <c r="AI726" s="134"/>
      <c r="AJ726" s="134"/>
      <c r="AK726" s="134"/>
      <c r="AL726" s="134"/>
      <c r="AM726" s="134"/>
      <c r="AN726" s="134"/>
    </row>
    <row r="727" ht="15.75" customHeigh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305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  <c r="AE727" s="134"/>
      <c r="AF727" s="134"/>
      <c r="AG727" s="134"/>
      <c r="AH727" s="134"/>
      <c r="AI727" s="134"/>
      <c r="AJ727" s="134"/>
      <c r="AK727" s="134"/>
      <c r="AL727" s="134"/>
      <c r="AM727" s="134"/>
      <c r="AN727" s="134"/>
    </row>
    <row r="728" ht="15.75" customHeigh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305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  <c r="AE728" s="134"/>
      <c r="AF728" s="134"/>
      <c r="AG728" s="134"/>
      <c r="AH728" s="134"/>
      <c r="AI728" s="134"/>
      <c r="AJ728" s="134"/>
      <c r="AK728" s="134"/>
      <c r="AL728" s="134"/>
      <c r="AM728" s="134"/>
      <c r="AN728" s="134"/>
    </row>
    <row r="729" ht="15.75" customHeigh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305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  <c r="AE729" s="134"/>
      <c r="AF729" s="134"/>
      <c r="AG729" s="134"/>
      <c r="AH729" s="134"/>
      <c r="AI729" s="134"/>
      <c r="AJ729" s="134"/>
      <c r="AK729" s="134"/>
      <c r="AL729" s="134"/>
      <c r="AM729" s="134"/>
      <c r="AN729" s="134"/>
    </row>
    <row r="730" ht="15.75" customHeigh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305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  <c r="AE730" s="134"/>
      <c r="AF730" s="134"/>
      <c r="AG730" s="134"/>
      <c r="AH730" s="134"/>
      <c r="AI730" s="134"/>
      <c r="AJ730" s="134"/>
      <c r="AK730" s="134"/>
      <c r="AL730" s="134"/>
      <c r="AM730" s="134"/>
      <c r="AN730" s="134"/>
    </row>
    <row r="731" ht="15.75" customHeigh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305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  <c r="AE731" s="134"/>
      <c r="AF731" s="134"/>
      <c r="AG731" s="134"/>
      <c r="AH731" s="134"/>
      <c r="AI731" s="134"/>
      <c r="AJ731" s="134"/>
      <c r="AK731" s="134"/>
      <c r="AL731" s="134"/>
      <c r="AM731" s="134"/>
      <c r="AN731" s="134"/>
    </row>
    <row r="732" ht="15.75" customHeigh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305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  <c r="AF732" s="134"/>
      <c r="AG732" s="134"/>
      <c r="AH732" s="134"/>
      <c r="AI732" s="134"/>
      <c r="AJ732" s="134"/>
      <c r="AK732" s="134"/>
      <c r="AL732" s="134"/>
      <c r="AM732" s="134"/>
      <c r="AN732" s="134"/>
    </row>
    <row r="733" ht="15.75" customHeigh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305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  <c r="AE733" s="134"/>
      <c r="AF733" s="134"/>
      <c r="AG733" s="134"/>
      <c r="AH733" s="134"/>
      <c r="AI733" s="134"/>
      <c r="AJ733" s="134"/>
      <c r="AK733" s="134"/>
      <c r="AL733" s="134"/>
      <c r="AM733" s="134"/>
      <c r="AN733" s="134"/>
    </row>
    <row r="734" ht="15.75" customHeigh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305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  <c r="AE734" s="134"/>
      <c r="AF734" s="134"/>
      <c r="AG734" s="134"/>
      <c r="AH734" s="134"/>
      <c r="AI734" s="134"/>
      <c r="AJ734" s="134"/>
      <c r="AK734" s="134"/>
      <c r="AL734" s="134"/>
      <c r="AM734" s="134"/>
      <c r="AN734" s="134"/>
    </row>
    <row r="735" ht="15.75" customHeigh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305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  <c r="AG735" s="134"/>
      <c r="AH735" s="134"/>
      <c r="AI735" s="134"/>
      <c r="AJ735" s="134"/>
      <c r="AK735" s="134"/>
      <c r="AL735" s="134"/>
      <c r="AM735" s="134"/>
      <c r="AN735" s="134"/>
    </row>
    <row r="736" ht="15.75" customHeigh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305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  <c r="AE736" s="134"/>
      <c r="AF736" s="134"/>
      <c r="AG736" s="134"/>
      <c r="AH736" s="134"/>
      <c r="AI736" s="134"/>
      <c r="AJ736" s="134"/>
      <c r="AK736" s="134"/>
      <c r="AL736" s="134"/>
      <c r="AM736" s="134"/>
      <c r="AN736" s="134"/>
    </row>
    <row r="737" ht="15.75" customHeigh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305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  <c r="AE737" s="134"/>
      <c r="AF737" s="134"/>
      <c r="AG737" s="134"/>
      <c r="AH737" s="134"/>
      <c r="AI737" s="134"/>
      <c r="AJ737" s="134"/>
      <c r="AK737" s="134"/>
      <c r="AL737" s="134"/>
      <c r="AM737" s="134"/>
      <c r="AN737" s="134"/>
    </row>
    <row r="738" ht="15.75" customHeigh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305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  <c r="AE738" s="134"/>
      <c r="AF738" s="134"/>
      <c r="AG738" s="134"/>
      <c r="AH738" s="134"/>
      <c r="AI738" s="134"/>
      <c r="AJ738" s="134"/>
      <c r="AK738" s="134"/>
      <c r="AL738" s="134"/>
      <c r="AM738" s="134"/>
      <c r="AN738" s="134"/>
    </row>
    <row r="739" ht="15.75" customHeigh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305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  <c r="AE739" s="134"/>
      <c r="AF739" s="134"/>
      <c r="AG739" s="134"/>
      <c r="AH739" s="134"/>
      <c r="AI739" s="134"/>
      <c r="AJ739" s="134"/>
      <c r="AK739" s="134"/>
      <c r="AL739" s="134"/>
      <c r="AM739" s="134"/>
      <c r="AN739" s="134"/>
    </row>
    <row r="740" ht="15.75" customHeigh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305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  <c r="AE740" s="134"/>
      <c r="AF740" s="134"/>
      <c r="AG740" s="134"/>
      <c r="AH740" s="134"/>
      <c r="AI740" s="134"/>
      <c r="AJ740" s="134"/>
      <c r="AK740" s="134"/>
      <c r="AL740" s="134"/>
      <c r="AM740" s="134"/>
      <c r="AN740" s="134"/>
    </row>
    <row r="741" ht="15.75" customHeigh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305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  <c r="AE741" s="134"/>
      <c r="AF741" s="134"/>
      <c r="AG741" s="134"/>
      <c r="AH741" s="134"/>
      <c r="AI741" s="134"/>
      <c r="AJ741" s="134"/>
      <c r="AK741" s="134"/>
      <c r="AL741" s="134"/>
      <c r="AM741" s="134"/>
      <c r="AN741" s="134"/>
    </row>
    <row r="742" ht="15.75" customHeigh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305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  <c r="AF742" s="134"/>
      <c r="AG742" s="134"/>
      <c r="AH742" s="134"/>
      <c r="AI742" s="134"/>
      <c r="AJ742" s="134"/>
      <c r="AK742" s="134"/>
      <c r="AL742" s="134"/>
      <c r="AM742" s="134"/>
      <c r="AN742" s="134"/>
    </row>
    <row r="743" ht="15.75" customHeigh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305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  <c r="AE743" s="134"/>
      <c r="AF743" s="134"/>
      <c r="AG743" s="134"/>
      <c r="AH743" s="134"/>
      <c r="AI743" s="134"/>
      <c r="AJ743" s="134"/>
      <c r="AK743" s="134"/>
      <c r="AL743" s="134"/>
      <c r="AM743" s="134"/>
      <c r="AN743" s="134"/>
    </row>
    <row r="744" ht="15.75" customHeigh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305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  <c r="AE744" s="134"/>
      <c r="AF744" s="134"/>
      <c r="AG744" s="134"/>
      <c r="AH744" s="134"/>
      <c r="AI744" s="134"/>
      <c r="AJ744" s="134"/>
      <c r="AK744" s="134"/>
      <c r="AL744" s="134"/>
      <c r="AM744" s="134"/>
      <c r="AN744" s="134"/>
    </row>
    <row r="745" ht="15.75" customHeigh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305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  <c r="AE745" s="134"/>
      <c r="AF745" s="134"/>
      <c r="AG745" s="134"/>
      <c r="AH745" s="134"/>
      <c r="AI745" s="134"/>
      <c r="AJ745" s="134"/>
      <c r="AK745" s="134"/>
      <c r="AL745" s="134"/>
      <c r="AM745" s="134"/>
      <c r="AN745" s="134"/>
    </row>
    <row r="746" ht="15.75" customHeigh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305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  <c r="AE746" s="134"/>
      <c r="AF746" s="134"/>
      <c r="AG746" s="134"/>
      <c r="AH746" s="134"/>
      <c r="AI746" s="134"/>
      <c r="AJ746" s="134"/>
      <c r="AK746" s="134"/>
      <c r="AL746" s="134"/>
      <c r="AM746" s="134"/>
      <c r="AN746" s="134"/>
    </row>
    <row r="747" ht="15.75" customHeigh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305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  <c r="AE747" s="134"/>
      <c r="AF747" s="134"/>
      <c r="AG747" s="134"/>
      <c r="AH747" s="134"/>
      <c r="AI747" s="134"/>
      <c r="AJ747" s="134"/>
      <c r="AK747" s="134"/>
      <c r="AL747" s="134"/>
      <c r="AM747" s="134"/>
      <c r="AN747" s="134"/>
    </row>
    <row r="748" ht="15.75" customHeigh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305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  <c r="AE748" s="134"/>
      <c r="AF748" s="134"/>
      <c r="AG748" s="134"/>
      <c r="AH748" s="134"/>
      <c r="AI748" s="134"/>
      <c r="AJ748" s="134"/>
      <c r="AK748" s="134"/>
      <c r="AL748" s="134"/>
      <c r="AM748" s="134"/>
      <c r="AN748" s="134"/>
    </row>
    <row r="749" ht="15.75" customHeigh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305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  <c r="AE749" s="134"/>
      <c r="AF749" s="134"/>
      <c r="AG749" s="134"/>
      <c r="AH749" s="134"/>
      <c r="AI749" s="134"/>
      <c r="AJ749" s="134"/>
      <c r="AK749" s="134"/>
      <c r="AL749" s="134"/>
      <c r="AM749" s="134"/>
      <c r="AN749" s="134"/>
    </row>
    <row r="750" ht="15.75" customHeigh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305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  <c r="AE750" s="134"/>
      <c r="AF750" s="134"/>
      <c r="AG750" s="134"/>
      <c r="AH750" s="134"/>
      <c r="AI750" s="134"/>
      <c r="AJ750" s="134"/>
      <c r="AK750" s="134"/>
      <c r="AL750" s="134"/>
      <c r="AM750" s="134"/>
      <c r="AN750" s="134"/>
    </row>
    <row r="751" ht="15.75" customHeigh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305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  <c r="AE751" s="134"/>
      <c r="AF751" s="134"/>
      <c r="AG751" s="134"/>
      <c r="AH751" s="134"/>
      <c r="AI751" s="134"/>
      <c r="AJ751" s="134"/>
      <c r="AK751" s="134"/>
      <c r="AL751" s="134"/>
      <c r="AM751" s="134"/>
      <c r="AN751" s="134"/>
    </row>
    <row r="752" ht="15.75" customHeigh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305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  <c r="AE752" s="134"/>
      <c r="AF752" s="134"/>
      <c r="AG752" s="134"/>
      <c r="AH752" s="134"/>
      <c r="AI752" s="134"/>
      <c r="AJ752" s="134"/>
      <c r="AK752" s="134"/>
      <c r="AL752" s="134"/>
      <c r="AM752" s="134"/>
      <c r="AN752" s="134"/>
    </row>
    <row r="753" ht="15.75" customHeigh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305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  <c r="AE753" s="134"/>
      <c r="AF753" s="134"/>
      <c r="AG753" s="134"/>
      <c r="AH753" s="134"/>
      <c r="AI753" s="134"/>
      <c r="AJ753" s="134"/>
      <c r="AK753" s="134"/>
      <c r="AL753" s="134"/>
      <c r="AM753" s="134"/>
      <c r="AN753" s="134"/>
    </row>
    <row r="754" ht="15.75" customHeigh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305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  <c r="AE754" s="134"/>
      <c r="AF754" s="134"/>
      <c r="AG754" s="134"/>
      <c r="AH754" s="134"/>
      <c r="AI754" s="134"/>
      <c r="AJ754" s="134"/>
      <c r="AK754" s="134"/>
      <c r="AL754" s="134"/>
      <c r="AM754" s="134"/>
      <c r="AN754" s="134"/>
    </row>
    <row r="755" ht="15.75" customHeigh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305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  <c r="AE755" s="134"/>
      <c r="AF755" s="134"/>
      <c r="AG755" s="134"/>
      <c r="AH755" s="134"/>
      <c r="AI755" s="134"/>
      <c r="AJ755" s="134"/>
      <c r="AK755" s="134"/>
      <c r="AL755" s="134"/>
      <c r="AM755" s="134"/>
      <c r="AN755" s="134"/>
    </row>
    <row r="756" ht="15.75" customHeigh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305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  <c r="AE756" s="134"/>
      <c r="AF756" s="134"/>
      <c r="AG756" s="134"/>
      <c r="AH756" s="134"/>
      <c r="AI756" s="134"/>
      <c r="AJ756" s="134"/>
      <c r="AK756" s="134"/>
      <c r="AL756" s="134"/>
      <c r="AM756" s="134"/>
      <c r="AN756" s="134"/>
    </row>
    <row r="757" ht="15.75" customHeigh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305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  <c r="AE757" s="134"/>
      <c r="AF757" s="134"/>
      <c r="AG757" s="134"/>
      <c r="AH757" s="134"/>
      <c r="AI757" s="134"/>
      <c r="AJ757" s="134"/>
      <c r="AK757" s="134"/>
      <c r="AL757" s="134"/>
      <c r="AM757" s="134"/>
      <c r="AN757" s="134"/>
    </row>
    <row r="758" ht="15.75" customHeigh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305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  <c r="AE758" s="134"/>
      <c r="AF758" s="134"/>
      <c r="AG758" s="134"/>
      <c r="AH758" s="134"/>
      <c r="AI758" s="134"/>
      <c r="AJ758" s="134"/>
      <c r="AK758" s="134"/>
      <c r="AL758" s="134"/>
      <c r="AM758" s="134"/>
      <c r="AN758" s="134"/>
    </row>
    <row r="759" ht="15.75" customHeigh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305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  <c r="AE759" s="134"/>
      <c r="AF759" s="134"/>
      <c r="AG759" s="134"/>
      <c r="AH759" s="134"/>
      <c r="AI759" s="134"/>
      <c r="AJ759" s="134"/>
      <c r="AK759" s="134"/>
      <c r="AL759" s="134"/>
      <c r="AM759" s="134"/>
      <c r="AN759" s="134"/>
    </row>
    <row r="760" ht="15.75" customHeigh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305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  <c r="AE760" s="134"/>
      <c r="AF760" s="134"/>
      <c r="AG760" s="134"/>
      <c r="AH760" s="134"/>
      <c r="AI760" s="134"/>
      <c r="AJ760" s="134"/>
      <c r="AK760" s="134"/>
      <c r="AL760" s="134"/>
      <c r="AM760" s="134"/>
      <c r="AN760" s="134"/>
    </row>
    <row r="761" ht="15.75" customHeigh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305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  <c r="AE761" s="134"/>
      <c r="AF761" s="134"/>
      <c r="AG761" s="134"/>
      <c r="AH761" s="134"/>
      <c r="AI761" s="134"/>
      <c r="AJ761" s="134"/>
      <c r="AK761" s="134"/>
      <c r="AL761" s="134"/>
      <c r="AM761" s="134"/>
      <c r="AN761" s="134"/>
    </row>
    <row r="762" ht="15.75" customHeigh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305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  <c r="AE762" s="134"/>
      <c r="AF762" s="134"/>
      <c r="AG762" s="134"/>
      <c r="AH762" s="134"/>
      <c r="AI762" s="134"/>
      <c r="AJ762" s="134"/>
      <c r="AK762" s="134"/>
      <c r="AL762" s="134"/>
      <c r="AM762" s="134"/>
      <c r="AN762" s="134"/>
    </row>
    <row r="763" ht="15.75" customHeigh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305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  <c r="AE763" s="134"/>
      <c r="AF763" s="134"/>
      <c r="AG763" s="134"/>
      <c r="AH763" s="134"/>
      <c r="AI763" s="134"/>
      <c r="AJ763" s="134"/>
      <c r="AK763" s="134"/>
      <c r="AL763" s="134"/>
      <c r="AM763" s="134"/>
      <c r="AN763" s="134"/>
    </row>
    <row r="764" ht="15.75" customHeigh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305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  <c r="AE764" s="134"/>
      <c r="AF764" s="134"/>
      <c r="AG764" s="134"/>
      <c r="AH764" s="134"/>
      <c r="AI764" s="134"/>
      <c r="AJ764" s="134"/>
      <c r="AK764" s="134"/>
      <c r="AL764" s="134"/>
      <c r="AM764" s="134"/>
      <c r="AN764" s="134"/>
    </row>
    <row r="765" ht="15.75" customHeigh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305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  <c r="AE765" s="134"/>
      <c r="AF765" s="134"/>
      <c r="AG765" s="134"/>
      <c r="AH765" s="134"/>
      <c r="AI765" s="134"/>
      <c r="AJ765" s="134"/>
      <c r="AK765" s="134"/>
      <c r="AL765" s="134"/>
      <c r="AM765" s="134"/>
      <c r="AN765" s="134"/>
    </row>
    <row r="766" ht="15.75" customHeigh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305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  <c r="AE766" s="134"/>
      <c r="AF766" s="134"/>
      <c r="AG766" s="134"/>
      <c r="AH766" s="134"/>
      <c r="AI766" s="134"/>
      <c r="AJ766" s="134"/>
      <c r="AK766" s="134"/>
      <c r="AL766" s="134"/>
      <c r="AM766" s="134"/>
      <c r="AN766" s="134"/>
    </row>
    <row r="767" ht="15.75" customHeigh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305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  <c r="AE767" s="134"/>
      <c r="AF767" s="134"/>
      <c r="AG767" s="134"/>
      <c r="AH767" s="134"/>
      <c r="AI767" s="134"/>
      <c r="AJ767" s="134"/>
      <c r="AK767" s="134"/>
      <c r="AL767" s="134"/>
      <c r="AM767" s="134"/>
      <c r="AN767" s="134"/>
    </row>
    <row r="768" ht="15.75" customHeigh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305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  <c r="AE768" s="134"/>
      <c r="AF768" s="134"/>
      <c r="AG768" s="134"/>
      <c r="AH768" s="134"/>
      <c r="AI768" s="134"/>
      <c r="AJ768" s="134"/>
      <c r="AK768" s="134"/>
      <c r="AL768" s="134"/>
      <c r="AM768" s="134"/>
      <c r="AN768" s="134"/>
    </row>
    <row r="769" ht="15.75" customHeigh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305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  <c r="AE769" s="134"/>
      <c r="AF769" s="134"/>
      <c r="AG769" s="134"/>
      <c r="AH769" s="134"/>
      <c r="AI769" s="134"/>
      <c r="AJ769" s="134"/>
      <c r="AK769" s="134"/>
      <c r="AL769" s="134"/>
      <c r="AM769" s="134"/>
      <c r="AN769" s="134"/>
    </row>
    <row r="770" ht="15.75" customHeigh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305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  <c r="AE770" s="134"/>
      <c r="AF770" s="134"/>
      <c r="AG770" s="134"/>
      <c r="AH770" s="134"/>
      <c r="AI770" s="134"/>
      <c r="AJ770" s="134"/>
      <c r="AK770" s="134"/>
      <c r="AL770" s="134"/>
      <c r="AM770" s="134"/>
      <c r="AN770" s="134"/>
    </row>
    <row r="771" ht="15.75" customHeigh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305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  <c r="AE771" s="134"/>
      <c r="AF771" s="134"/>
      <c r="AG771" s="134"/>
      <c r="AH771" s="134"/>
      <c r="AI771" s="134"/>
      <c r="AJ771" s="134"/>
      <c r="AK771" s="134"/>
      <c r="AL771" s="134"/>
      <c r="AM771" s="134"/>
      <c r="AN771" s="134"/>
    </row>
    <row r="772" ht="15.75" customHeigh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305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  <c r="AE772" s="134"/>
      <c r="AF772" s="134"/>
      <c r="AG772" s="134"/>
      <c r="AH772" s="134"/>
      <c r="AI772" s="134"/>
      <c r="AJ772" s="134"/>
      <c r="AK772" s="134"/>
      <c r="AL772" s="134"/>
      <c r="AM772" s="134"/>
      <c r="AN772" s="134"/>
    </row>
    <row r="773" ht="15.75" customHeigh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305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  <c r="AE773" s="134"/>
      <c r="AF773" s="134"/>
      <c r="AG773" s="134"/>
      <c r="AH773" s="134"/>
      <c r="AI773" s="134"/>
      <c r="AJ773" s="134"/>
      <c r="AK773" s="134"/>
      <c r="AL773" s="134"/>
      <c r="AM773" s="134"/>
      <c r="AN773" s="134"/>
    </row>
    <row r="774" ht="15.75" customHeigh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305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  <c r="AE774" s="134"/>
      <c r="AF774" s="134"/>
      <c r="AG774" s="134"/>
      <c r="AH774" s="134"/>
      <c r="AI774" s="134"/>
      <c r="AJ774" s="134"/>
      <c r="AK774" s="134"/>
      <c r="AL774" s="134"/>
      <c r="AM774" s="134"/>
      <c r="AN774" s="134"/>
    </row>
    <row r="775" ht="15.75" customHeigh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305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  <c r="AE775" s="134"/>
      <c r="AF775" s="134"/>
      <c r="AG775" s="134"/>
      <c r="AH775" s="134"/>
      <c r="AI775" s="134"/>
      <c r="AJ775" s="134"/>
      <c r="AK775" s="134"/>
      <c r="AL775" s="134"/>
      <c r="AM775" s="134"/>
      <c r="AN775" s="134"/>
    </row>
    <row r="776" ht="15.75" customHeigh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305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  <c r="AE776" s="134"/>
      <c r="AF776" s="134"/>
      <c r="AG776" s="134"/>
      <c r="AH776" s="134"/>
      <c r="AI776" s="134"/>
      <c r="AJ776" s="134"/>
      <c r="AK776" s="134"/>
      <c r="AL776" s="134"/>
      <c r="AM776" s="134"/>
      <c r="AN776" s="134"/>
    </row>
    <row r="777" ht="15.75" customHeigh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305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  <c r="AE777" s="134"/>
      <c r="AF777" s="134"/>
      <c r="AG777" s="134"/>
      <c r="AH777" s="134"/>
      <c r="AI777" s="134"/>
      <c r="AJ777" s="134"/>
      <c r="AK777" s="134"/>
      <c r="AL777" s="134"/>
      <c r="AM777" s="134"/>
      <c r="AN777" s="134"/>
    </row>
    <row r="778" ht="15.75" customHeigh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305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  <c r="AE778" s="134"/>
      <c r="AF778" s="134"/>
      <c r="AG778" s="134"/>
      <c r="AH778" s="134"/>
      <c r="AI778" s="134"/>
      <c r="AJ778" s="134"/>
      <c r="AK778" s="134"/>
      <c r="AL778" s="134"/>
      <c r="AM778" s="134"/>
      <c r="AN778" s="134"/>
    </row>
    <row r="779" ht="15.75" customHeigh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305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  <c r="AE779" s="134"/>
      <c r="AF779" s="134"/>
      <c r="AG779" s="134"/>
      <c r="AH779" s="134"/>
      <c r="AI779" s="134"/>
      <c r="AJ779" s="134"/>
      <c r="AK779" s="134"/>
      <c r="AL779" s="134"/>
      <c r="AM779" s="134"/>
      <c r="AN779" s="134"/>
    </row>
    <row r="780" ht="15.75" customHeigh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305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  <c r="AE780" s="134"/>
      <c r="AF780" s="134"/>
      <c r="AG780" s="134"/>
      <c r="AH780" s="134"/>
      <c r="AI780" s="134"/>
      <c r="AJ780" s="134"/>
      <c r="AK780" s="134"/>
      <c r="AL780" s="134"/>
      <c r="AM780" s="134"/>
      <c r="AN780" s="134"/>
    </row>
    <row r="781" ht="15.75" customHeigh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305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  <c r="AF781" s="134"/>
      <c r="AG781" s="134"/>
      <c r="AH781" s="134"/>
      <c r="AI781" s="134"/>
      <c r="AJ781" s="134"/>
      <c r="AK781" s="134"/>
      <c r="AL781" s="134"/>
      <c r="AM781" s="134"/>
      <c r="AN781" s="134"/>
    </row>
    <row r="782" ht="15.75" customHeigh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305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  <c r="AF782" s="134"/>
      <c r="AG782" s="134"/>
      <c r="AH782" s="134"/>
      <c r="AI782" s="134"/>
      <c r="AJ782" s="134"/>
      <c r="AK782" s="134"/>
      <c r="AL782" s="134"/>
      <c r="AM782" s="134"/>
      <c r="AN782" s="134"/>
    </row>
    <row r="783" ht="15.75" customHeigh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305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  <c r="AF783" s="134"/>
      <c r="AG783" s="134"/>
      <c r="AH783" s="134"/>
      <c r="AI783" s="134"/>
      <c r="AJ783" s="134"/>
      <c r="AK783" s="134"/>
      <c r="AL783" s="134"/>
      <c r="AM783" s="134"/>
      <c r="AN783" s="134"/>
    </row>
    <row r="784" ht="15.75" customHeigh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305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  <c r="AF784" s="134"/>
      <c r="AG784" s="134"/>
      <c r="AH784" s="134"/>
      <c r="AI784" s="134"/>
      <c r="AJ784" s="134"/>
      <c r="AK784" s="134"/>
      <c r="AL784" s="134"/>
      <c r="AM784" s="134"/>
      <c r="AN784" s="134"/>
    </row>
    <row r="785" ht="15.75" customHeigh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305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  <c r="AE785" s="134"/>
      <c r="AF785" s="134"/>
      <c r="AG785" s="134"/>
      <c r="AH785" s="134"/>
      <c r="AI785" s="134"/>
      <c r="AJ785" s="134"/>
      <c r="AK785" s="134"/>
      <c r="AL785" s="134"/>
      <c r="AM785" s="134"/>
      <c r="AN785" s="134"/>
    </row>
    <row r="786" ht="15.75" customHeigh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305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  <c r="AE786" s="134"/>
      <c r="AF786" s="134"/>
      <c r="AG786" s="134"/>
      <c r="AH786" s="134"/>
      <c r="AI786" s="134"/>
      <c r="AJ786" s="134"/>
      <c r="AK786" s="134"/>
      <c r="AL786" s="134"/>
      <c r="AM786" s="134"/>
      <c r="AN786" s="134"/>
    </row>
    <row r="787" ht="15.75" customHeigh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305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  <c r="AE787" s="134"/>
      <c r="AF787" s="134"/>
      <c r="AG787" s="134"/>
      <c r="AH787" s="134"/>
      <c r="AI787" s="134"/>
      <c r="AJ787" s="134"/>
      <c r="AK787" s="134"/>
      <c r="AL787" s="134"/>
      <c r="AM787" s="134"/>
      <c r="AN787" s="134"/>
    </row>
    <row r="788" ht="15.75" customHeigh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305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  <c r="AE788" s="134"/>
      <c r="AF788" s="134"/>
      <c r="AG788" s="134"/>
      <c r="AH788" s="134"/>
      <c r="AI788" s="134"/>
      <c r="AJ788" s="134"/>
      <c r="AK788" s="134"/>
      <c r="AL788" s="134"/>
      <c r="AM788" s="134"/>
      <c r="AN788" s="134"/>
    </row>
    <row r="789" ht="15.75" customHeigh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305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  <c r="AF789" s="134"/>
      <c r="AG789" s="134"/>
      <c r="AH789" s="134"/>
      <c r="AI789" s="134"/>
      <c r="AJ789" s="134"/>
      <c r="AK789" s="134"/>
      <c r="AL789" s="134"/>
      <c r="AM789" s="134"/>
      <c r="AN789" s="134"/>
    </row>
    <row r="790" ht="15.75" customHeigh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305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4"/>
      <c r="AI790" s="134"/>
      <c r="AJ790" s="134"/>
      <c r="AK790" s="134"/>
      <c r="AL790" s="134"/>
      <c r="AM790" s="134"/>
      <c r="AN790" s="134"/>
    </row>
    <row r="791" ht="15.75" customHeigh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305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  <c r="AF791" s="134"/>
      <c r="AG791" s="134"/>
      <c r="AH791" s="134"/>
      <c r="AI791" s="134"/>
      <c r="AJ791" s="134"/>
      <c r="AK791" s="134"/>
      <c r="AL791" s="134"/>
      <c r="AM791" s="134"/>
      <c r="AN791" s="134"/>
    </row>
    <row r="792" ht="15.75" customHeigh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305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  <c r="AE792" s="134"/>
      <c r="AF792" s="134"/>
      <c r="AG792" s="134"/>
      <c r="AH792" s="134"/>
      <c r="AI792" s="134"/>
      <c r="AJ792" s="134"/>
      <c r="AK792" s="134"/>
      <c r="AL792" s="134"/>
      <c r="AM792" s="134"/>
      <c r="AN792" s="134"/>
    </row>
    <row r="793" ht="15.75" customHeigh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305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  <c r="AF793" s="134"/>
      <c r="AG793" s="134"/>
      <c r="AH793" s="134"/>
      <c r="AI793" s="134"/>
      <c r="AJ793" s="134"/>
      <c r="AK793" s="134"/>
      <c r="AL793" s="134"/>
      <c r="AM793" s="134"/>
      <c r="AN793" s="134"/>
    </row>
    <row r="794" ht="15.75" customHeigh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305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  <c r="AF794" s="134"/>
      <c r="AG794" s="134"/>
      <c r="AH794" s="134"/>
      <c r="AI794" s="134"/>
      <c r="AJ794" s="134"/>
      <c r="AK794" s="134"/>
      <c r="AL794" s="134"/>
      <c r="AM794" s="134"/>
      <c r="AN794" s="134"/>
    </row>
    <row r="795" ht="15.75" customHeigh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305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  <c r="AF795" s="134"/>
      <c r="AG795" s="134"/>
      <c r="AH795" s="134"/>
      <c r="AI795" s="134"/>
      <c r="AJ795" s="134"/>
      <c r="AK795" s="134"/>
      <c r="AL795" s="134"/>
      <c r="AM795" s="134"/>
      <c r="AN795" s="134"/>
    </row>
    <row r="796" ht="15.75" customHeigh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305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  <c r="AF796" s="134"/>
      <c r="AG796" s="134"/>
      <c r="AH796" s="134"/>
      <c r="AI796" s="134"/>
      <c r="AJ796" s="134"/>
      <c r="AK796" s="134"/>
      <c r="AL796" s="134"/>
      <c r="AM796" s="134"/>
      <c r="AN796" s="134"/>
    </row>
    <row r="797" ht="15.75" customHeigh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305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  <c r="AF797" s="134"/>
      <c r="AG797" s="134"/>
      <c r="AH797" s="134"/>
      <c r="AI797" s="134"/>
      <c r="AJ797" s="134"/>
      <c r="AK797" s="134"/>
      <c r="AL797" s="134"/>
      <c r="AM797" s="134"/>
      <c r="AN797" s="134"/>
    </row>
    <row r="798" ht="15.75" customHeigh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305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  <c r="AE798" s="134"/>
      <c r="AF798" s="134"/>
      <c r="AG798" s="134"/>
      <c r="AH798" s="134"/>
      <c r="AI798" s="134"/>
      <c r="AJ798" s="134"/>
      <c r="AK798" s="134"/>
      <c r="AL798" s="134"/>
      <c r="AM798" s="134"/>
      <c r="AN798" s="134"/>
    </row>
    <row r="799" ht="15.75" customHeigh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305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  <c r="AE799" s="134"/>
      <c r="AF799" s="134"/>
      <c r="AG799" s="134"/>
      <c r="AH799" s="134"/>
      <c r="AI799" s="134"/>
      <c r="AJ799" s="134"/>
      <c r="AK799" s="134"/>
      <c r="AL799" s="134"/>
      <c r="AM799" s="134"/>
      <c r="AN799" s="134"/>
    </row>
    <row r="800" ht="15.75" customHeigh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305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  <c r="AE800" s="134"/>
      <c r="AF800" s="134"/>
      <c r="AG800" s="134"/>
      <c r="AH800" s="134"/>
      <c r="AI800" s="134"/>
      <c r="AJ800" s="134"/>
      <c r="AK800" s="134"/>
      <c r="AL800" s="134"/>
      <c r="AM800" s="134"/>
      <c r="AN800" s="134"/>
    </row>
    <row r="801" ht="15.75" customHeigh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305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  <c r="AF801" s="134"/>
      <c r="AG801" s="134"/>
      <c r="AH801" s="134"/>
      <c r="AI801" s="134"/>
      <c r="AJ801" s="134"/>
      <c r="AK801" s="134"/>
      <c r="AL801" s="134"/>
      <c r="AM801" s="134"/>
      <c r="AN801" s="134"/>
    </row>
    <row r="802" ht="15.75" customHeigh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305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  <c r="AF802" s="134"/>
      <c r="AG802" s="134"/>
      <c r="AH802" s="134"/>
      <c r="AI802" s="134"/>
      <c r="AJ802" s="134"/>
      <c r="AK802" s="134"/>
      <c r="AL802" s="134"/>
      <c r="AM802" s="134"/>
      <c r="AN802" s="134"/>
    </row>
    <row r="803" ht="15.75" customHeigh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305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  <c r="AE803" s="134"/>
      <c r="AF803" s="134"/>
      <c r="AG803" s="134"/>
      <c r="AH803" s="134"/>
      <c r="AI803" s="134"/>
      <c r="AJ803" s="134"/>
      <c r="AK803" s="134"/>
      <c r="AL803" s="134"/>
      <c r="AM803" s="134"/>
      <c r="AN803" s="134"/>
    </row>
    <row r="804" ht="15.75" customHeigh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305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  <c r="AE804" s="134"/>
      <c r="AF804" s="134"/>
      <c r="AG804" s="134"/>
      <c r="AH804" s="134"/>
      <c r="AI804" s="134"/>
      <c r="AJ804" s="134"/>
      <c r="AK804" s="134"/>
      <c r="AL804" s="134"/>
      <c r="AM804" s="134"/>
      <c r="AN804" s="134"/>
    </row>
    <row r="805" ht="15.75" customHeigh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305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  <c r="AE805" s="134"/>
      <c r="AF805" s="134"/>
      <c r="AG805" s="134"/>
      <c r="AH805" s="134"/>
      <c r="AI805" s="134"/>
      <c r="AJ805" s="134"/>
      <c r="AK805" s="134"/>
      <c r="AL805" s="134"/>
      <c r="AM805" s="134"/>
      <c r="AN805" s="134"/>
    </row>
    <row r="806" ht="15.75" customHeigh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305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  <c r="AE806" s="134"/>
      <c r="AF806" s="134"/>
      <c r="AG806" s="134"/>
      <c r="AH806" s="134"/>
      <c r="AI806" s="134"/>
      <c r="AJ806" s="134"/>
      <c r="AK806" s="134"/>
      <c r="AL806" s="134"/>
      <c r="AM806" s="134"/>
      <c r="AN806" s="134"/>
    </row>
    <row r="807" ht="15.75" customHeigh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305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  <c r="AE807" s="134"/>
      <c r="AF807" s="134"/>
      <c r="AG807" s="134"/>
      <c r="AH807" s="134"/>
      <c r="AI807" s="134"/>
      <c r="AJ807" s="134"/>
      <c r="AK807" s="134"/>
      <c r="AL807" s="134"/>
      <c r="AM807" s="134"/>
      <c r="AN807" s="134"/>
    </row>
    <row r="808" ht="15.75" customHeigh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305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  <c r="AE808" s="134"/>
      <c r="AF808" s="134"/>
      <c r="AG808" s="134"/>
      <c r="AH808" s="134"/>
      <c r="AI808" s="134"/>
      <c r="AJ808" s="134"/>
      <c r="AK808" s="134"/>
      <c r="AL808" s="134"/>
      <c r="AM808" s="134"/>
      <c r="AN808" s="134"/>
    </row>
    <row r="809" ht="15.75" customHeigh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305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  <c r="AE809" s="134"/>
      <c r="AF809" s="134"/>
      <c r="AG809" s="134"/>
      <c r="AH809" s="134"/>
      <c r="AI809" s="134"/>
      <c r="AJ809" s="134"/>
      <c r="AK809" s="134"/>
      <c r="AL809" s="134"/>
      <c r="AM809" s="134"/>
      <c r="AN809" s="134"/>
    </row>
    <row r="810" ht="15.75" customHeigh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305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  <c r="AF810" s="134"/>
      <c r="AG810" s="134"/>
      <c r="AH810" s="134"/>
      <c r="AI810" s="134"/>
      <c r="AJ810" s="134"/>
      <c r="AK810" s="134"/>
      <c r="AL810" s="134"/>
      <c r="AM810" s="134"/>
      <c r="AN810" s="134"/>
    </row>
    <row r="811" ht="15.75" customHeigh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305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  <c r="AF811" s="134"/>
      <c r="AG811" s="134"/>
      <c r="AH811" s="134"/>
      <c r="AI811" s="134"/>
      <c r="AJ811" s="134"/>
      <c r="AK811" s="134"/>
      <c r="AL811" s="134"/>
      <c r="AM811" s="134"/>
      <c r="AN811" s="134"/>
    </row>
    <row r="812" ht="15.75" customHeigh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305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  <c r="AF812" s="134"/>
      <c r="AG812" s="134"/>
      <c r="AH812" s="134"/>
      <c r="AI812" s="134"/>
      <c r="AJ812" s="134"/>
      <c r="AK812" s="134"/>
      <c r="AL812" s="134"/>
      <c r="AM812" s="134"/>
      <c r="AN812" s="134"/>
    </row>
    <row r="813" ht="15.75" customHeigh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305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  <c r="AF813" s="134"/>
      <c r="AG813" s="134"/>
      <c r="AH813" s="134"/>
      <c r="AI813" s="134"/>
      <c r="AJ813" s="134"/>
      <c r="AK813" s="134"/>
      <c r="AL813" s="134"/>
      <c r="AM813" s="134"/>
      <c r="AN813" s="134"/>
    </row>
    <row r="814" ht="15.75" customHeigh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305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  <c r="AE814" s="134"/>
      <c r="AF814" s="134"/>
      <c r="AG814" s="134"/>
      <c r="AH814" s="134"/>
      <c r="AI814" s="134"/>
      <c r="AJ814" s="134"/>
      <c r="AK814" s="134"/>
      <c r="AL814" s="134"/>
      <c r="AM814" s="134"/>
      <c r="AN814" s="134"/>
    </row>
    <row r="815" ht="15.75" customHeigh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305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  <c r="AE815" s="134"/>
      <c r="AF815" s="134"/>
      <c r="AG815" s="134"/>
      <c r="AH815" s="134"/>
      <c r="AI815" s="134"/>
      <c r="AJ815" s="134"/>
      <c r="AK815" s="134"/>
      <c r="AL815" s="134"/>
      <c r="AM815" s="134"/>
      <c r="AN815" s="134"/>
    </row>
    <row r="816" ht="15.75" customHeigh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305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  <c r="AE816" s="134"/>
      <c r="AF816" s="134"/>
      <c r="AG816" s="134"/>
      <c r="AH816" s="134"/>
      <c r="AI816" s="134"/>
      <c r="AJ816" s="134"/>
      <c r="AK816" s="134"/>
      <c r="AL816" s="134"/>
      <c r="AM816" s="134"/>
      <c r="AN816" s="134"/>
    </row>
    <row r="817" ht="15.75" customHeigh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305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  <c r="AE817" s="134"/>
      <c r="AF817" s="134"/>
      <c r="AG817" s="134"/>
      <c r="AH817" s="134"/>
      <c r="AI817" s="134"/>
      <c r="AJ817" s="134"/>
      <c r="AK817" s="134"/>
      <c r="AL817" s="134"/>
      <c r="AM817" s="134"/>
      <c r="AN817" s="134"/>
    </row>
    <row r="818" ht="15.75" customHeigh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305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  <c r="AF818" s="134"/>
      <c r="AG818" s="134"/>
      <c r="AH818" s="134"/>
      <c r="AI818" s="134"/>
      <c r="AJ818" s="134"/>
      <c r="AK818" s="134"/>
      <c r="AL818" s="134"/>
      <c r="AM818" s="134"/>
      <c r="AN818" s="134"/>
    </row>
    <row r="819" ht="15.75" customHeigh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305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  <c r="AF819" s="134"/>
      <c r="AG819" s="134"/>
      <c r="AH819" s="134"/>
      <c r="AI819" s="134"/>
      <c r="AJ819" s="134"/>
      <c r="AK819" s="134"/>
      <c r="AL819" s="134"/>
      <c r="AM819" s="134"/>
      <c r="AN819" s="134"/>
    </row>
    <row r="820" ht="15.75" customHeigh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305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  <c r="AF820" s="134"/>
      <c r="AG820" s="134"/>
      <c r="AH820" s="134"/>
      <c r="AI820" s="134"/>
      <c r="AJ820" s="134"/>
      <c r="AK820" s="134"/>
      <c r="AL820" s="134"/>
      <c r="AM820" s="134"/>
      <c r="AN820" s="134"/>
    </row>
    <row r="821" ht="15.75" customHeigh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305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  <c r="AF821" s="134"/>
      <c r="AG821" s="134"/>
      <c r="AH821" s="134"/>
      <c r="AI821" s="134"/>
      <c r="AJ821" s="134"/>
      <c r="AK821" s="134"/>
      <c r="AL821" s="134"/>
      <c r="AM821" s="134"/>
      <c r="AN821" s="134"/>
    </row>
    <row r="822" ht="15.75" customHeigh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305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  <c r="AF822" s="134"/>
      <c r="AG822" s="134"/>
      <c r="AH822" s="134"/>
      <c r="AI822" s="134"/>
      <c r="AJ822" s="134"/>
      <c r="AK822" s="134"/>
      <c r="AL822" s="134"/>
      <c r="AM822" s="134"/>
      <c r="AN822" s="134"/>
    </row>
    <row r="823" ht="15.75" customHeigh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305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  <c r="AF823" s="134"/>
      <c r="AG823" s="134"/>
      <c r="AH823" s="134"/>
      <c r="AI823" s="134"/>
      <c r="AJ823" s="134"/>
      <c r="AK823" s="134"/>
      <c r="AL823" s="134"/>
      <c r="AM823" s="134"/>
      <c r="AN823" s="134"/>
    </row>
    <row r="824" ht="15.75" customHeigh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305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  <c r="AF824" s="134"/>
      <c r="AG824" s="134"/>
      <c r="AH824" s="134"/>
      <c r="AI824" s="134"/>
      <c r="AJ824" s="134"/>
      <c r="AK824" s="134"/>
      <c r="AL824" s="134"/>
      <c r="AM824" s="134"/>
      <c r="AN824" s="134"/>
    </row>
    <row r="825" ht="15.75" customHeigh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305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  <c r="AF825" s="134"/>
      <c r="AG825" s="134"/>
      <c r="AH825" s="134"/>
      <c r="AI825" s="134"/>
      <c r="AJ825" s="134"/>
      <c r="AK825" s="134"/>
      <c r="AL825" s="134"/>
      <c r="AM825" s="134"/>
      <c r="AN825" s="134"/>
    </row>
    <row r="826" ht="15.75" customHeigh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305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  <c r="AF826" s="134"/>
      <c r="AG826" s="134"/>
      <c r="AH826" s="134"/>
      <c r="AI826" s="134"/>
      <c r="AJ826" s="134"/>
      <c r="AK826" s="134"/>
      <c r="AL826" s="134"/>
      <c r="AM826" s="134"/>
      <c r="AN826" s="134"/>
    </row>
    <row r="827" ht="15.75" customHeigh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305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  <c r="AF827" s="134"/>
      <c r="AG827" s="134"/>
      <c r="AH827" s="134"/>
      <c r="AI827" s="134"/>
      <c r="AJ827" s="134"/>
      <c r="AK827" s="134"/>
      <c r="AL827" s="134"/>
      <c r="AM827" s="134"/>
      <c r="AN827" s="134"/>
    </row>
    <row r="828" ht="15.75" customHeigh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305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  <c r="AE828" s="134"/>
      <c r="AF828" s="134"/>
      <c r="AG828" s="134"/>
      <c r="AH828" s="134"/>
      <c r="AI828" s="134"/>
      <c r="AJ828" s="134"/>
      <c r="AK828" s="134"/>
      <c r="AL828" s="134"/>
      <c r="AM828" s="134"/>
      <c r="AN828" s="134"/>
    </row>
    <row r="829" ht="15.75" customHeigh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305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  <c r="AE829" s="134"/>
      <c r="AF829" s="134"/>
      <c r="AG829" s="134"/>
      <c r="AH829" s="134"/>
      <c r="AI829" s="134"/>
      <c r="AJ829" s="134"/>
      <c r="AK829" s="134"/>
      <c r="AL829" s="134"/>
      <c r="AM829" s="134"/>
      <c r="AN829" s="134"/>
    </row>
    <row r="830" ht="15.75" customHeigh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305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  <c r="AF830" s="134"/>
      <c r="AG830" s="134"/>
      <c r="AH830" s="134"/>
      <c r="AI830" s="134"/>
      <c r="AJ830" s="134"/>
      <c r="AK830" s="134"/>
      <c r="AL830" s="134"/>
      <c r="AM830" s="134"/>
      <c r="AN830" s="134"/>
    </row>
    <row r="831" ht="15.75" customHeigh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305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  <c r="AF831" s="134"/>
      <c r="AG831" s="134"/>
      <c r="AH831" s="134"/>
      <c r="AI831" s="134"/>
      <c r="AJ831" s="134"/>
      <c r="AK831" s="134"/>
      <c r="AL831" s="134"/>
      <c r="AM831" s="134"/>
      <c r="AN831" s="134"/>
    </row>
    <row r="832" ht="15.75" customHeigh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305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  <c r="AF832" s="134"/>
      <c r="AG832" s="134"/>
      <c r="AH832" s="134"/>
      <c r="AI832" s="134"/>
      <c r="AJ832" s="134"/>
      <c r="AK832" s="134"/>
      <c r="AL832" s="134"/>
      <c r="AM832" s="134"/>
      <c r="AN832" s="134"/>
    </row>
    <row r="833" ht="15.75" customHeigh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305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  <c r="AN833" s="134"/>
    </row>
    <row r="834" ht="15.75" customHeigh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305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  <c r="AF834" s="134"/>
      <c r="AG834" s="134"/>
      <c r="AH834" s="134"/>
      <c r="AI834" s="134"/>
      <c r="AJ834" s="134"/>
      <c r="AK834" s="134"/>
      <c r="AL834" s="134"/>
      <c r="AM834" s="134"/>
      <c r="AN834" s="134"/>
    </row>
    <row r="835" ht="15.75" customHeigh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305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  <c r="AF835" s="134"/>
      <c r="AG835" s="134"/>
      <c r="AH835" s="134"/>
      <c r="AI835" s="134"/>
      <c r="AJ835" s="134"/>
      <c r="AK835" s="134"/>
      <c r="AL835" s="134"/>
      <c r="AM835" s="134"/>
      <c r="AN835" s="134"/>
    </row>
    <row r="836" ht="15.75" customHeigh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305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  <c r="AE836" s="134"/>
      <c r="AF836" s="134"/>
      <c r="AG836" s="134"/>
      <c r="AH836" s="134"/>
      <c r="AI836" s="134"/>
      <c r="AJ836" s="134"/>
      <c r="AK836" s="134"/>
      <c r="AL836" s="134"/>
      <c r="AM836" s="134"/>
      <c r="AN836" s="134"/>
    </row>
    <row r="837" ht="15.75" customHeigh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305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  <c r="AE837" s="134"/>
      <c r="AF837" s="134"/>
      <c r="AG837" s="134"/>
      <c r="AH837" s="134"/>
      <c r="AI837" s="134"/>
      <c r="AJ837" s="134"/>
      <c r="AK837" s="134"/>
      <c r="AL837" s="134"/>
      <c r="AM837" s="134"/>
      <c r="AN837" s="134"/>
    </row>
    <row r="838" ht="15.75" customHeigh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305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  <c r="AF838" s="134"/>
      <c r="AG838" s="134"/>
      <c r="AH838" s="134"/>
      <c r="AI838" s="134"/>
      <c r="AJ838" s="134"/>
      <c r="AK838" s="134"/>
      <c r="AL838" s="134"/>
      <c r="AM838" s="134"/>
      <c r="AN838" s="134"/>
    </row>
    <row r="839" ht="15.75" customHeigh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305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  <c r="AN839" s="134"/>
    </row>
    <row r="840" ht="15.75" customHeigh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305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  <c r="AF840" s="134"/>
      <c r="AG840" s="134"/>
      <c r="AH840" s="134"/>
      <c r="AI840" s="134"/>
      <c r="AJ840" s="134"/>
      <c r="AK840" s="134"/>
      <c r="AL840" s="134"/>
      <c r="AM840" s="134"/>
      <c r="AN840" s="134"/>
    </row>
    <row r="841" ht="15.75" customHeigh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305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  <c r="AF841" s="134"/>
      <c r="AG841" s="134"/>
      <c r="AH841" s="134"/>
      <c r="AI841" s="134"/>
      <c r="AJ841" s="134"/>
      <c r="AK841" s="134"/>
      <c r="AL841" s="134"/>
      <c r="AM841" s="134"/>
      <c r="AN841" s="134"/>
    </row>
    <row r="842" ht="15.75" customHeigh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305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  <c r="AF842" s="134"/>
      <c r="AG842" s="134"/>
      <c r="AH842" s="134"/>
      <c r="AI842" s="134"/>
      <c r="AJ842" s="134"/>
      <c r="AK842" s="134"/>
      <c r="AL842" s="134"/>
      <c r="AM842" s="134"/>
      <c r="AN842" s="134"/>
    </row>
    <row r="843" ht="15.75" customHeigh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305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  <c r="AF843" s="134"/>
      <c r="AG843" s="134"/>
      <c r="AH843" s="134"/>
      <c r="AI843" s="134"/>
      <c r="AJ843" s="134"/>
      <c r="AK843" s="134"/>
      <c r="AL843" s="134"/>
      <c r="AM843" s="134"/>
      <c r="AN843" s="134"/>
    </row>
    <row r="844" ht="15.75" customHeigh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305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  <c r="AF844" s="134"/>
      <c r="AG844" s="134"/>
      <c r="AH844" s="134"/>
      <c r="AI844" s="134"/>
      <c r="AJ844" s="134"/>
      <c r="AK844" s="134"/>
      <c r="AL844" s="134"/>
      <c r="AM844" s="134"/>
      <c r="AN844" s="134"/>
    </row>
    <row r="845" ht="15.75" customHeigh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305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  <c r="AF845" s="134"/>
      <c r="AG845" s="134"/>
      <c r="AH845" s="134"/>
      <c r="AI845" s="134"/>
      <c r="AJ845" s="134"/>
      <c r="AK845" s="134"/>
      <c r="AL845" s="134"/>
      <c r="AM845" s="134"/>
      <c r="AN845" s="134"/>
    </row>
    <row r="846" ht="15.75" customHeigh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305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  <c r="AE846" s="134"/>
      <c r="AF846" s="134"/>
      <c r="AG846" s="134"/>
      <c r="AH846" s="134"/>
      <c r="AI846" s="134"/>
      <c r="AJ846" s="134"/>
      <c r="AK846" s="134"/>
      <c r="AL846" s="134"/>
      <c r="AM846" s="134"/>
      <c r="AN846" s="134"/>
    </row>
    <row r="847" ht="15.75" customHeigh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305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  <c r="AE847" s="134"/>
      <c r="AF847" s="134"/>
      <c r="AG847" s="134"/>
      <c r="AH847" s="134"/>
      <c r="AI847" s="134"/>
      <c r="AJ847" s="134"/>
      <c r="AK847" s="134"/>
      <c r="AL847" s="134"/>
      <c r="AM847" s="134"/>
      <c r="AN847" s="134"/>
    </row>
    <row r="848" ht="15.75" customHeigh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305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  <c r="AE848" s="134"/>
      <c r="AF848" s="134"/>
      <c r="AG848" s="134"/>
      <c r="AH848" s="134"/>
      <c r="AI848" s="134"/>
      <c r="AJ848" s="134"/>
      <c r="AK848" s="134"/>
      <c r="AL848" s="134"/>
      <c r="AM848" s="134"/>
      <c r="AN848" s="134"/>
    </row>
    <row r="849" ht="15.75" customHeigh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305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  <c r="AE849" s="134"/>
      <c r="AF849" s="134"/>
      <c r="AG849" s="134"/>
      <c r="AH849" s="134"/>
      <c r="AI849" s="134"/>
      <c r="AJ849" s="134"/>
      <c r="AK849" s="134"/>
      <c r="AL849" s="134"/>
      <c r="AM849" s="134"/>
      <c r="AN849" s="134"/>
    </row>
    <row r="850" ht="15.75" customHeigh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305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  <c r="AE850" s="134"/>
      <c r="AF850" s="134"/>
      <c r="AG850" s="134"/>
      <c r="AH850" s="134"/>
      <c r="AI850" s="134"/>
      <c r="AJ850" s="134"/>
      <c r="AK850" s="134"/>
      <c r="AL850" s="134"/>
      <c r="AM850" s="134"/>
      <c r="AN850" s="134"/>
    </row>
    <row r="851" ht="15.75" customHeigh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305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  <c r="AE851" s="134"/>
      <c r="AF851" s="134"/>
      <c r="AG851" s="134"/>
      <c r="AH851" s="134"/>
      <c r="AI851" s="134"/>
      <c r="AJ851" s="134"/>
      <c r="AK851" s="134"/>
      <c r="AL851" s="134"/>
      <c r="AM851" s="134"/>
      <c r="AN851" s="134"/>
    </row>
    <row r="852" ht="15.75" customHeigh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305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  <c r="AE852" s="134"/>
      <c r="AF852" s="134"/>
      <c r="AG852" s="134"/>
      <c r="AH852" s="134"/>
      <c r="AI852" s="134"/>
      <c r="AJ852" s="134"/>
      <c r="AK852" s="134"/>
      <c r="AL852" s="134"/>
      <c r="AM852" s="134"/>
      <c r="AN852" s="134"/>
    </row>
    <row r="853" ht="15.75" customHeigh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305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  <c r="AE853" s="134"/>
      <c r="AF853" s="134"/>
      <c r="AG853" s="134"/>
      <c r="AH853" s="134"/>
      <c r="AI853" s="134"/>
      <c r="AJ853" s="134"/>
      <c r="AK853" s="134"/>
      <c r="AL853" s="134"/>
      <c r="AM853" s="134"/>
      <c r="AN853" s="134"/>
    </row>
    <row r="854" ht="15.75" customHeigh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305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  <c r="AE854" s="134"/>
      <c r="AF854" s="134"/>
      <c r="AG854" s="134"/>
      <c r="AH854" s="134"/>
      <c r="AI854" s="134"/>
      <c r="AJ854" s="134"/>
      <c r="AK854" s="134"/>
      <c r="AL854" s="134"/>
      <c r="AM854" s="134"/>
      <c r="AN854" s="134"/>
    </row>
    <row r="855" ht="15.75" customHeigh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305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  <c r="AE855" s="134"/>
      <c r="AF855" s="134"/>
      <c r="AG855" s="134"/>
      <c r="AH855" s="134"/>
      <c r="AI855" s="134"/>
      <c r="AJ855" s="134"/>
      <c r="AK855" s="134"/>
      <c r="AL855" s="134"/>
      <c r="AM855" s="134"/>
      <c r="AN855" s="134"/>
    </row>
    <row r="856" ht="15.75" customHeigh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305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  <c r="AE856" s="134"/>
      <c r="AF856" s="134"/>
      <c r="AG856" s="134"/>
      <c r="AH856" s="134"/>
      <c r="AI856" s="134"/>
      <c r="AJ856" s="134"/>
      <c r="AK856" s="134"/>
      <c r="AL856" s="134"/>
      <c r="AM856" s="134"/>
      <c r="AN856" s="134"/>
    </row>
    <row r="857" ht="15.75" customHeigh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305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  <c r="AE857" s="134"/>
      <c r="AF857" s="134"/>
      <c r="AG857" s="134"/>
      <c r="AH857" s="134"/>
      <c r="AI857" s="134"/>
      <c r="AJ857" s="134"/>
      <c r="AK857" s="134"/>
      <c r="AL857" s="134"/>
      <c r="AM857" s="134"/>
      <c r="AN857" s="134"/>
    </row>
    <row r="858" ht="15.75" customHeigh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305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  <c r="AE858" s="134"/>
      <c r="AF858" s="134"/>
      <c r="AG858" s="134"/>
      <c r="AH858" s="134"/>
      <c r="AI858" s="134"/>
      <c r="AJ858" s="134"/>
      <c r="AK858" s="134"/>
      <c r="AL858" s="134"/>
      <c r="AM858" s="134"/>
      <c r="AN858" s="134"/>
    </row>
    <row r="859" ht="15.75" customHeigh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305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  <c r="AE859" s="134"/>
      <c r="AF859" s="134"/>
      <c r="AG859" s="134"/>
      <c r="AH859" s="134"/>
      <c r="AI859" s="134"/>
      <c r="AJ859" s="134"/>
      <c r="AK859" s="134"/>
      <c r="AL859" s="134"/>
      <c r="AM859" s="134"/>
      <c r="AN859" s="134"/>
    </row>
    <row r="860" ht="15.75" customHeigh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305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  <c r="AE860" s="134"/>
      <c r="AF860" s="134"/>
      <c r="AG860" s="134"/>
      <c r="AH860" s="134"/>
      <c r="AI860" s="134"/>
      <c r="AJ860" s="134"/>
      <c r="AK860" s="134"/>
      <c r="AL860" s="134"/>
      <c r="AM860" s="134"/>
      <c r="AN860" s="134"/>
    </row>
    <row r="861" ht="15.75" customHeigh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305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  <c r="AE861" s="134"/>
      <c r="AF861" s="134"/>
      <c r="AG861" s="134"/>
      <c r="AH861" s="134"/>
      <c r="AI861" s="134"/>
      <c r="AJ861" s="134"/>
      <c r="AK861" s="134"/>
      <c r="AL861" s="134"/>
      <c r="AM861" s="134"/>
      <c r="AN861" s="134"/>
    </row>
    <row r="862" ht="15.75" customHeigh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305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  <c r="AE862" s="134"/>
      <c r="AF862" s="134"/>
      <c r="AG862" s="134"/>
      <c r="AH862" s="134"/>
      <c r="AI862" s="134"/>
      <c r="AJ862" s="134"/>
      <c r="AK862" s="134"/>
      <c r="AL862" s="134"/>
      <c r="AM862" s="134"/>
      <c r="AN862" s="134"/>
    </row>
    <row r="863" ht="15.75" customHeigh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305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  <c r="AE863" s="134"/>
      <c r="AF863" s="134"/>
      <c r="AG863" s="134"/>
      <c r="AH863" s="134"/>
      <c r="AI863" s="134"/>
      <c r="AJ863" s="134"/>
      <c r="AK863" s="134"/>
      <c r="AL863" s="134"/>
      <c r="AM863" s="134"/>
      <c r="AN863" s="134"/>
    </row>
    <row r="864" ht="15.75" customHeigh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305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  <c r="AE864" s="134"/>
      <c r="AF864" s="134"/>
      <c r="AG864" s="134"/>
      <c r="AH864" s="134"/>
      <c r="AI864" s="134"/>
      <c r="AJ864" s="134"/>
      <c r="AK864" s="134"/>
      <c r="AL864" s="134"/>
      <c r="AM864" s="134"/>
      <c r="AN864" s="134"/>
    </row>
    <row r="865" ht="15.75" customHeigh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305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  <c r="AE865" s="134"/>
      <c r="AF865" s="134"/>
      <c r="AG865" s="134"/>
      <c r="AH865" s="134"/>
      <c r="AI865" s="134"/>
      <c r="AJ865" s="134"/>
      <c r="AK865" s="134"/>
      <c r="AL865" s="134"/>
      <c r="AM865" s="134"/>
      <c r="AN865" s="134"/>
    </row>
    <row r="866" ht="15.75" customHeigh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305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  <c r="AE866" s="134"/>
      <c r="AF866" s="134"/>
      <c r="AG866" s="134"/>
      <c r="AH866" s="134"/>
      <c r="AI866" s="134"/>
      <c r="AJ866" s="134"/>
      <c r="AK866" s="134"/>
      <c r="AL866" s="134"/>
      <c r="AM866" s="134"/>
      <c r="AN866" s="134"/>
    </row>
    <row r="867" ht="15.75" customHeigh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305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  <c r="AE867" s="134"/>
      <c r="AF867" s="134"/>
      <c r="AG867" s="134"/>
      <c r="AH867" s="134"/>
      <c r="AI867" s="134"/>
      <c r="AJ867" s="134"/>
      <c r="AK867" s="134"/>
      <c r="AL867" s="134"/>
      <c r="AM867" s="134"/>
      <c r="AN867" s="134"/>
    </row>
    <row r="868" ht="15.75" customHeigh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305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  <c r="AE868" s="134"/>
      <c r="AF868" s="134"/>
      <c r="AG868" s="134"/>
      <c r="AH868" s="134"/>
      <c r="AI868" s="134"/>
      <c r="AJ868" s="134"/>
      <c r="AK868" s="134"/>
      <c r="AL868" s="134"/>
      <c r="AM868" s="134"/>
      <c r="AN868" s="134"/>
    </row>
    <row r="869" ht="15.75" customHeigh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305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  <c r="AE869" s="134"/>
      <c r="AF869" s="134"/>
      <c r="AG869" s="134"/>
      <c r="AH869" s="134"/>
      <c r="AI869" s="134"/>
      <c r="AJ869" s="134"/>
      <c r="AK869" s="134"/>
      <c r="AL869" s="134"/>
      <c r="AM869" s="134"/>
      <c r="AN869" s="134"/>
    </row>
    <row r="870" ht="15.75" customHeigh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305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  <c r="AE870" s="134"/>
      <c r="AF870" s="134"/>
      <c r="AG870" s="134"/>
      <c r="AH870" s="134"/>
      <c r="AI870" s="134"/>
      <c r="AJ870" s="134"/>
      <c r="AK870" s="134"/>
      <c r="AL870" s="134"/>
      <c r="AM870" s="134"/>
      <c r="AN870" s="134"/>
    </row>
    <row r="871" ht="15.75" customHeigh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305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  <c r="AE871" s="134"/>
      <c r="AF871" s="134"/>
      <c r="AG871" s="134"/>
      <c r="AH871" s="134"/>
      <c r="AI871" s="134"/>
      <c r="AJ871" s="134"/>
      <c r="AK871" s="134"/>
      <c r="AL871" s="134"/>
      <c r="AM871" s="134"/>
      <c r="AN871" s="134"/>
    </row>
    <row r="872" ht="15.75" customHeigh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305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  <c r="AE872" s="134"/>
      <c r="AF872" s="134"/>
      <c r="AG872" s="134"/>
      <c r="AH872" s="134"/>
      <c r="AI872" s="134"/>
      <c r="AJ872" s="134"/>
      <c r="AK872" s="134"/>
      <c r="AL872" s="134"/>
      <c r="AM872" s="134"/>
      <c r="AN872" s="134"/>
    </row>
    <row r="873" ht="15.75" customHeigh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305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  <c r="AE873" s="134"/>
      <c r="AF873" s="134"/>
      <c r="AG873" s="134"/>
      <c r="AH873" s="134"/>
      <c r="AI873" s="134"/>
      <c r="AJ873" s="134"/>
      <c r="AK873" s="134"/>
      <c r="AL873" s="134"/>
      <c r="AM873" s="134"/>
      <c r="AN873" s="134"/>
    </row>
    <row r="874" ht="15.75" customHeigh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305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  <c r="AE874" s="134"/>
      <c r="AF874" s="134"/>
      <c r="AG874" s="134"/>
      <c r="AH874" s="134"/>
      <c r="AI874" s="134"/>
      <c r="AJ874" s="134"/>
      <c r="AK874" s="134"/>
      <c r="AL874" s="134"/>
      <c r="AM874" s="134"/>
      <c r="AN874" s="134"/>
    </row>
    <row r="875" ht="15.75" customHeigh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305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  <c r="AE875" s="134"/>
      <c r="AF875" s="134"/>
      <c r="AG875" s="134"/>
      <c r="AH875" s="134"/>
      <c r="AI875" s="134"/>
      <c r="AJ875" s="134"/>
      <c r="AK875" s="134"/>
      <c r="AL875" s="134"/>
      <c r="AM875" s="134"/>
      <c r="AN875" s="134"/>
    </row>
    <row r="876" ht="15.75" customHeigh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305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  <c r="AE876" s="134"/>
      <c r="AF876" s="134"/>
      <c r="AG876" s="134"/>
      <c r="AH876" s="134"/>
      <c r="AI876" s="134"/>
      <c r="AJ876" s="134"/>
      <c r="AK876" s="134"/>
      <c r="AL876" s="134"/>
      <c r="AM876" s="134"/>
      <c r="AN876" s="134"/>
    </row>
    <row r="877" ht="15.75" customHeigh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305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  <c r="AE877" s="134"/>
      <c r="AF877" s="134"/>
      <c r="AG877" s="134"/>
      <c r="AH877" s="134"/>
      <c r="AI877" s="134"/>
      <c r="AJ877" s="134"/>
      <c r="AK877" s="134"/>
      <c r="AL877" s="134"/>
      <c r="AM877" s="134"/>
      <c r="AN877" s="134"/>
    </row>
    <row r="878" ht="15.75" customHeigh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305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  <c r="AE878" s="134"/>
      <c r="AF878" s="134"/>
      <c r="AG878" s="134"/>
      <c r="AH878" s="134"/>
      <c r="AI878" s="134"/>
      <c r="AJ878" s="134"/>
      <c r="AK878" s="134"/>
      <c r="AL878" s="134"/>
      <c r="AM878" s="134"/>
      <c r="AN878" s="134"/>
    </row>
    <row r="879" ht="15.75" customHeigh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305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  <c r="AE879" s="134"/>
      <c r="AF879" s="134"/>
      <c r="AG879" s="134"/>
      <c r="AH879" s="134"/>
      <c r="AI879" s="134"/>
      <c r="AJ879" s="134"/>
      <c r="AK879" s="134"/>
      <c r="AL879" s="134"/>
      <c r="AM879" s="134"/>
      <c r="AN879" s="134"/>
    </row>
    <row r="880" ht="15.75" customHeigh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305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  <c r="AE880" s="134"/>
      <c r="AF880" s="134"/>
      <c r="AG880" s="134"/>
      <c r="AH880" s="134"/>
      <c r="AI880" s="134"/>
      <c r="AJ880" s="134"/>
      <c r="AK880" s="134"/>
      <c r="AL880" s="134"/>
      <c r="AM880" s="134"/>
      <c r="AN880" s="134"/>
    </row>
    <row r="881" ht="15.75" customHeigh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305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  <c r="AE881" s="134"/>
      <c r="AF881" s="134"/>
      <c r="AG881" s="134"/>
      <c r="AH881" s="134"/>
      <c r="AI881" s="134"/>
      <c r="AJ881" s="134"/>
      <c r="AK881" s="134"/>
      <c r="AL881" s="134"/>
      <c r="AM881" s="134"/>
      <c r="AN881" s="134"/>
    </row>
    <row r="882" ht="15.75" customHeigh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305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  <c r="AE882" s="134"/>
      <c r="AF882" s="134"/>
      <c r="AG882" s="134"/>
      <c r="AH882" s="134"/>
      <c r="AI882" s="134"/>
      <c r="AJ882" s="134"/>
      <c r="AK882" s="134"/>
      <c r="AL882" s="134"/>
      <c r="AM882" s="134"/>
      <c r="AN882" s="134"/>
    </row>
    <row r="883" ht="15.75" customHeigh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305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  <c r="AE883" s="134"/>
      <c r="AF883" s="134"/>
      <c r="AG883" s="134"/>
      <c r="AH883" s="134"/>
      <c r="AI883" s="134"/>
      <c r="AJ883" s="134"/>
      <c r="AK883" s="134"/>
      <c r="AL883" s="134"/>
      <c r="AM883" s="134"/>
      <c r="AN883" s="134"/>
    </row>
    <row r="884" ht="15.75" customHeigh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305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  <c r="AF884" s="134"/>
      <c r="AG884" s="134"/>
      <c r="AH884" s="134"/>
      <c r="AI884" s="134"/>
      <c r="AJ884" s="134"/>
      <c r="AK884" s="134"/>
      <c r="AL884" s="134"/>
      <c r="AM884" s="134"/>
      <c r="AN884" s="134"/>
    </row>
    <row r="885" ht="15.75" customHeigh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305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  <c r="AE885" s="134"/>
      <c r="AF885" s="134"/>
      <c r="AG885" s="134"/>
      <c r="AH885" s="134"/>
      <c r="AI885" s="134"/>
      <c r="AJ885" s="134"/>
      <c r="AK885" s="134"/>
      <c r="AL885" s="134"/>
      <c r="AM885" s="134"/>
      <c r="AN885" s="134"/>
    </row>
    <row r="886" ht="15.75" customHeigh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305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  <c r="AE886" s="134"/>
      <c r="AF886" s="134"/>
      <c r="AG886" s="134"/>
      <c r="AH886" s="134"/>
      <c r="AI886" s="134"/>
      <c r="AJ886" s="134"/>
      <c r="AK886" s="134"/>
      <c r="AL886" s="134"/>
      <c r="AM886" s="134"/>
      <c r="AN886" s="134"/>
    </row>
    <row r="887" ht="15.75" customHeigh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305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  <c r="AE887" s="134"/>
      <c r="AF887" s="134"/>
      <c r="AG887" s="134"/>
      <c r="AH887" s="134"/>
      <c r="AI887" s="134"/>
      <c r="AJ887" s="134"/>
      <c r="AK887" s="134"/>
      <c r="AL887" s="134"/>
      <c r="AM887" s="134"/>
      <c r="AN887" s="134"/>
    </row>
    <row r="888" ht="15.75" customHeigh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305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  <c r="AE888" s="134"/>
      <c r="AF888" s="134"/>
      <c r="AG888" s="134"/>
      <c r="AH888" s="134"/>
      <c r="AI888" s="134"/>
      <c r="AJ888" s="134"/>
      <c r="AK888" s="134"/>
      <c r="AL888" s="134"/>
      <c r="AM888" s="134"/>
      <c r="AN888" s="134"/>
    </row>
    <row r="889" ht="15.75" customHeigh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305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  <c r="AE889" s="134"/>
      <c r="AF889" s="134"/>
      <c r="AG889" s="134"/>
      <c r="AH889" s="134"/>
      <c r="AI889" s="134"/>
      <c r="AJ889" s="134"/>
      <c r="AK889" s="134"/>
      <c r="AL889" s="134"/>
      <c r="AM889" s="134"/>
      <c r="AN889" s="134"/>
    </row>
    <row r="890" ht="15.75" customHeigh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305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  <c r="AE890" s="134"/>
      <c r="AF890" s="134"/>
      <c r="AG890" s="134"/>
      <c r="AH890" s="134"/>
      <c r="AI890" s="134"/>
      <c r="AJ890" s="134"/>
      <c r="AK890" s="134"/>
      <c r="AL890" s="134"/>
      <c r="AM890" s="134"/>
      <c r="AN890" s="134"/>
    </row>
    <row r="891" ht="15.75" customHeigh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305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  <c r="AE891" s="134"/>
      <c r="AF891" s="134"/>
      <c r="AG891" s="134"/>
      <c r="AH891" s="134"/>
      <c r="AI891" s="134"/>
      <c r="AJ891" s="134"/>
      <c r="AK891" s="134"/>
      <c r="AL891" s="134"/>
      <c r="AM891" s="134"/>
      <c r="AN891" s="134"/>
    </row>
    <row r="892" ht="15.75" customHeigh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305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  <c r="AE892" s="134"/>
      <c r="AF892" s="134"/>
      <c r="AG892" s="134"/>
      <c r="AH892" s="134"/>
      <c r="AI892" s="134"/>
      <c r="AJ892" s="134"/>
      <c r="AK892" s="134"/>
      <c r="AL892" s="134"/>
      <c r="AM892" s="134"/>
      <c r="AN892" s="134"/>
    </row>
    <row r="893" ht="15.75" customHeigh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305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  <c r="AE893" s="134"/>
      <c r="AF893" s="134"/>
      <c r="AG893" s="134"/>
      <c r="AH893" s="134"/>
      <c r="AI893" s="134"/>
      <c r="AJ893" s="134"/>
      <c r="AK893" s="134"/>
      <c r="AL893" s="134"/>
      <c r="AM893" s="134"/>
      <c r="AN893" s="134"/>
    </row>
    <row r="894" ht="15.75" customHeigh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305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  <c r="AE894" s="134"/>
      <c r="AF894" s="134"/>
      <c r="AG894" s="134"/>
      <c r="AH894" s="134"/>
      <c r="AI894" s="134"/>
      <c r="AJ894" s="134"/>
      <c r="AK894" s="134"/>
      <c r="AL894" s="134"/>
      <c r="AM894" s="134"/>
      <c r="AN894" s="134"/>
    </row>
    <row r="895" ht="15.75" customHeigh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305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  <c r="AE895" s="134"/>
      <c r="AF895" s="134"/>
      <c r="AG895" s="134"/>
      <c r="AH895" s="134"/>
      <c r="AI895" s="134"/>
      <c r="AJ895" s="134"/>
      <c r="AK895" s="134"/>
      <c r="AL895" s="134"/>
      <c r="AM895" s="134"/>
      <c r="AN895" s="134"/>
    </row>
    <row r="896" ht="15.75" customHeigh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305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  <c r="AE896" s="134"/>
      <c r="AF896" s="134"/>
      <c r="AG896" s="134"/>
      <c r="AH896" s="134"/>
      <c r="AI896" s="134"/>
      <c r="AJ896" s="134"/>
      <c r="AK896" s="134"/>
      <c r="AL896" s="134"/>
      <c r="AM896" s="134"/>
      <c r="AN896" s="134"/>
    </row>
    <row r="897" ht="15.75" customHeigh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305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  <c r="AE897" s="134"/>
      <c r="AF897" s="134"/>
      <c r="AG897" s="134"/>
      <c r="AH897" s="134"/>
      <c r="AI897" s="134"/>
      <c r="AJ897" s="134"/>
      <c r="AK897" s="134"/>
      <c r="AL897" s="134"/>
      <c r="AM897" s="134"/>
      <c r="AN897" s="134"/>
    </row>
    <row r="898" ht="15.75" customHeigh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305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  <c r="AE898" s="134"/>
      <c r="AF898" s="134"/>
      <c r="AG898" s="134"/>
      <c r="AH898" s="134"/>
      <c r="AI898" s="134"/>
      <c r="AJ898" s="134"/>
      <c r="AK898" s="134"/>
      <c r="AL898" s="134"/>
      <c r="AM898" s="134"/>
      <c r="AN898" s="134"/>
    </row>
    <row r="899" ht="15.75" customHeigh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305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  <c r="AE899" s="134"/>
      <c r="AF899" s="134"/>
      <c r="AG899" s="134"/>
      <c r="AH899" s="134"/>
      <c r="AI899" s="134"/>
      <c r="AJ899" s="134"/>
      <c r="AK899" s="134"/>
      <c r="AL899" s="134"/>
      <c r="AM899" s="134"/>
      <c r="AN899" s="134"/>
    </row>
    <row r="900" ht="15.75" customHeigh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305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  <c r="AE900" s="134"/>
      <c r="AF900" s="134"/>
      <c r="AG900" s="134"/>
      <c r="AH900" s="134"/>
      <c r="AI900" s="134"/>
      <c r="AJ900" s="134"/>
      <c r="AK900" s="134"/>
      <c r="AL900" s="134"/>
      <c r="AM900" s="134"/>
      <c r="AN900" s="134"/>
    </row>
    <row r="901" ht="15.75" customHeigh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305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  <c r="AE901" s="134"/>
      <c r="AF901" s="134"/>
      <c r="AG901" s="134"/>
      <c r="AH901" s="134"/>
      <c r="AI901" s="134"/>
      <c r="AJ901" s="134"/>
      <c r="AK901" s="134"/>
      <c r="AL901" s="134"/>
      <c r="AM901" s="134"/>
      <c r="AN901" s="134"/>
    </row>
    <row r="902" ht="15.75" customHeigh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305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  <c r="AE902" s="134"/>
      <c r="AF902" s="134"/>
      <c r="AG902" s="134"/>
      <c r="AH902" s="134"/>
      <c r="AI902" s="134"/>
      <c r="AJ902" s="134"/>
      <c r="AK902" s="134"/>
      <c r="AL902" s="134"/>
      <c r="AM902" s="134"/>
      <c r="AN902" s="134"/>
    </row>
    <row r="903" ht="15.75" customHeigh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305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  <c r="AE903" s="134"/>
      <c r="AF903" s="134"/>
      <c r="AG903" s="134"/>
      <c r="AH903" s="134"/>
      <c r="AI903" s="134"/>
      <c r="AJ903" s="134"/>
      <c r="AK903" s="134"/>
      <c r="AL903" s="134"/>
      <c r="AM903" s="134"/>
      <c r="AN903" s="134"/>
    </row>
    <row r="904" ht="15.75" customHeigh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305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  <c r="AE904" s="134"/>
      <c r="AF904" s="134"/>
      <c r="AG904" s="134"/>
      <c r="AH904" s="134"/>
      <c r="AI904" s="134"/>
      <c r="AJ904" s="134"/>
      <c r="AK904" s="134"/>
      <c r="AL904" s="134"/>
      <c r="AM904" s="134"/>
      <c r="AN904" s="134"/>
    </row>
    <row r="905" ht="15.75" customHeigh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305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  <c r="AE905" s="134"/>
      <c r="AF905" s="134"/>
      <c r="AG905" s="134"/>
      <c r="AH905" s="134"/>
      <c r="AI905" s="134"/>
      <c r="AJ905" s="134"/>
      <c r="AK905" s="134"/>
      <c r="AL905" s="134"/>
      <c r="AM905" s="134"/>
      <c r="AN905" s="134"/>
    </row>
    <row r="906" ht="15.75" customHeigh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305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  <c r="AE906" s="134"/>
      <c r="AF906" s="134"/>
      <c r="AG906" s="134"/>
      <c r="AH906" s="134"/>
      <c r="AI906" s="134"/>
      <c r="AJ906" s="134"/>
      <c r="AK906" s="134"/>
      <c r="AL906" s="134"/>
      <c r="AM906" s="134"/>
      <c r="AN906" s="134"/>
    </row>
    <row r="907" ht="15.75" customHeigh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305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  <c r="AE907" s="134"/>
      <c r="AF907" s="134"/>
      <c r="AG907" s="134"/>
      <c r="AH907" s="134"/>
      <c r="AI907" s="134"/>
      <c r="AJ907" s="134"/>
      <c r="AK907" s="134"/>
      <c r="AL907" s="134"/>
      <c r="AM907" s="134"/>
      <c r="AN907" s="134"/>
    </row>
    <row r="908" ht="15.75" customHeigh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305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  <c r="AE908" s="134"/>
      <c r="AF908" s="134"/>
      <c r="AG908" s="134"/>
      <c r="AH908" s="134"/>
      <c r="AI908" s="134"/>
      <c r="AJ908" s="134"/>
      <c r="AK908" s="134"/>
      <c r="AL908" s="134"/>
      <c r="AM908" s="134"/>
      <c r="AN908" s="134"/>
    </row>
    <row r="909" ht="15.75" customHeigh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305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  <c r="AE909" s="134"/>
      <c r="AF909" s="134"/>
      <c r="AG909" s="134"/>
      <c r="AH909" s="134"/>
      <c r="AI909" s="134"/>
      <c r="AJ909" s="134"/>
      <c r="AK909" s="134"/>
      <c r="AL909" s="134"/>
      <c r="AM909" s="134"/>
      <c r="AN909" s="134"/>
    </row>
    <row r="910" ht="15.75" customHeigh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305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  <c r="AE910" s="134"/>
      <c r="AF910" s="134"/>
      <c r="AG910" s="134"/>
      <c r="AH910" s="134"/>
      <c r="AI910" s="134"/>
      <c r="AJ910" s="134"/>
      <c r="AK910" s="134"/>
      <c r="AL910" s="134"/>
      <c r="AM910" s="134"/>
      <c r="AN910" s="134"/>
    </row>
    <row r="911" ht="15.75" customHeigh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305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  <c r="AG911" s="134"/>
      <c r="AH911" s="134"/>
      <c r="AI911" s="134"/>
      <c r="AJ911" s="134"/>
      <c r="AK911" s="134"/>
      <c r="AL911" s="134"/>
      <c r="AM911" s="134"/>
      <c r="AN911" s="134"/>
    </row>
    <row r="912" ht="15.75" customHeigh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305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  <c r="AE912" s="134"/>
      <c r="AF912" s="134"/>
      <c r="AG912" s="134"/>
      <c r="AH912" s="134"/>
      <c r="AI912" s="134"/>
      <c r="AJ912" s="134"/>
      <c r="AK912" s="134"/>
      <c r="AL912" s="134"/>
      <c r="AM912" s="134"/>
      <c r="AN912" s="134"/>
    </row>
    <row r="913" ht="15.75" customHeigh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305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  <c r="AE913" s="134"/>
      <c r="AF913" s="134"/>
      <c r="AG913" s="134"/>
      <c r="AH913" s="134"/>
      <c r="AI913" s="134"/>
      <c r="AJ913" s="134"/>
      <c r="AK913" s="134"/>
      <c r="AL913" s="134"/>
      <c r="AM913" s="134"/>
      <c r="AN913" s="134"/>
    </row>
    <row r="914" ht="15.75" customHeigh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305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  <c r="AE914" s="134"/>
      <c r="AF914" s="134"/>
      <c r="AG914" s="134"/>
      <c r="AH914" s="134"/>
      <c r="AI914" s="134"/>
      <c r="AJ914" s="134"/>
      <c r="AK914" s="134"/>
      <c r="AL914" s="134"/>
      <c r="AM914" s="134"/>
      <c r="AN914" s="134"/>
    </row>
    <row r="915" ht="15.75" customHeigh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305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  <c r="AE915" s="134"/>
      <c r="AF915" s="134"/>
      <c r="AG915" s="134"/>
      <c r="AH915" s="134"/>
      <c r="AI915" s="134"/>
      <c r="AJ915" s="134"/>
      <c r="AK915" s="134"/>
      <c r="AL915" s="134"/>
      <c r="AM915" s="134"/>
      <c r="AN915" s="134"/>
    </row>
    <row r="916" ht="15.75" customHeigh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305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  <c r="AE916" s="134"/>
      <c r="AF916" s="134"/>
      <c r="AG916" s="134"/>
      <c r="AH916" s="134"/>
      <c r="AI916" s="134"/>
      <c r="AJ916" s="134"/>
      <c r="AK916" s="134"/>
      <c r="AL916" s="134"/>
      <c r="AM916" s="134"/>
      <c r="AN916" s="134"/>
    </row>
    <row r="917" ht="15.75" customHeigh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305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  <c r="AE917" s="134"/>
      <c r="AF917" s="134"/>
      <c r="AG917" s="134"/>
      <c r="AH917" s="134"/>
      <c r="AI917" s="134"/>
      <c r="AJ917" s="134"/>
      <c r="AK917" s="134"/>
      <c r="AL917" s="134"/>
      <c r="AM917" s="134"/>
      <c r="AN917" s="134"/>
    </row>
    <row r="918" ht="15.75" customHeigh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305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  <c r="AE918" s="134"/>
      <c r="AF918" s="134"/>
      <c r="AG918" s="134"/>
      <c r="AH918" s="134"/>
      <c r="AI918" s="134"/>
      <c r="AJ918" s="134"/>
      <c r="AK918" s="134"/>
      <c r="AL918" s="134"/>
      <c r="AM918" s="134"/>
      <c r="AN918" s="134"/>
    </row>
    <row r="919" ht="15.75" customHeigh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305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  <c r="AE919" s="134"/>
      <c r="AF919" s="134"/>
      <c r="AG919" s="134"/>
      <c r="AH919" s="134"/>
      <c r="AI919" s="134"/>
      <c r="AJ919" s="134"/>
      <c r="AK919" s="134"/>
      <c r="AL919" s="134"/>
      <c r="AM919" s="134"/>
      <c r="AN919" s="134"/>
    </row>
    <row r="920" ht="15.75" customHeigh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305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  <c r="AE920" s="134"/>
      <c r="AF920" s="134"/>
      <c r="AG920" s="134"/>
      <c r="AH920" s="134"/>
      <c r="AI920" s="134"/>
      <c r="AJ920" s="134"/>
      <c r="AK920" s="134"/>
      <c r="AL920" s="134"/>
      <c r="AM920" s="134"/>
      <c r="AN920" s="134"/>
    </row>
    <row r="921" ht="15.75" customHeigh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305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  <c r="AE921" s="134"/>
      <c r="AF921" s="134"/>
      <c r="AG921" s="134"/>
      <c r="AH921" s="134"/>
      <c r="AI921" s="134"/>
      <c r="AJ921" s="134"/>
      <c r="AK921" s="134"/>
      <c r="AL921" s="134"/>
      <c r="AM921" s="134"/>
      <c r="AN921" s="134"/>
    </row>
    <row r="922" ht="15.75" customHeigh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305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  <c r="AE922" s="134"/>
      <c r="AF922" s="134"/>
      <c r="AG922" s="134"/>
      <c r="AH922" s="134"/>
      <c r="AI922" s="134"/>
      <c r="AJ922" s="134"/>
      <c r="AK922" s="134"/>
      <c r="AL922" s="134"/>
      <c r="AM922" s="134"/>
      <c r="AN922" s="134"/>
    </row>
    <row r="923" ht="15.75" customHeigh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305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  <c r="AE923" s="134"/>
      <c r="AF923" s="134"/>
      <c r="AG923" s="134"/>
      <c r="AH923" s="134"/>
      <c r="AI923" s="134"/>
      <c r="AJ923" s="134"/>
      <c r="AK923" s="134"/>
      <c r="AL923" s="134"/>
      <c r="AM923" s="134"/>
      <c r="AN923" s="134"/>
    </row>
    <row r="924" ht="15.75" customHeigh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305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  <c r="AE924" s="134"/>
      <c r="AF924" s="134"/>
      <c r="AG924" s="134"/>
      <c r="AH924" s="134"/>
      <c r="AI924" s="134"/>
      <c r="AJ924" s="134"/>
      <c r="AK924" s="134"/>
      <c r="AL924" s="134"/>
      <c r="AM924" s="134"/>
      <c r="AN924" s="134"/>
    </row>
    <row r="925" ht="15.75" customHeigh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305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  <c r="AE925" s="134"/>
      <c r="AF925" s="134"/>
      <c r="AG925" s="134"/>
      <c r="AH925" s="134"/>
      <c r="AI925" s="134"/>
      <c r="AJ925" s="134"/>
      <c r="AK925" s="134"/>
      <c r="AL925" s="134"/>
      <c r="AM925" s="134"/>
      <c r="AN925" s="134"/>
    </row>
    <row r="926" ht="15.75" customHeigh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305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  <c r="AF926" s="134"/>
      <c r="AG926" s="134"/>
      <c r="AH926" s="134"/>
      <c r="AI926" s="134"/>
      <c r="AJ926" s="134"/>
      <c r="AK926" s="134"/>
      <c r="AL926" s="134"/>
      <c r="AM926" s="134"/>
      <c r="AN926" s="134"/>
    </row>
    <row r="927" ht="15.75" customHeigh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305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  <c r="AE927" s="134"/>
      <c r="AF927" s="134"/>
      <c r="AG927" s="134"/>
      <c r="AH927" s="134"/>
      <c r="AI927" s="134"/>
      <c r="AJ927" s="134"/>
      <c r="AK927" s="134"/>
      <c r="AL927" s="134"/>
      <c r="AM927" s="134"/>
      <c r="AN927" s="134"/>
    </row>
    <row r="928" ht="15.75" customHeigh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305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  <c r="AE928" s="134"/>
      <c r="AF928" s="134"/>
      <c r="AG928" s="134"/>
      <c r="AH928" s="134"/>
      <c r="AI928" s="134"/>
      <c r="AJ928" s="134"/>
      <c r="AK928" s="134"/>
      <c r="AL928" s="134"/>
      <c r="AM928" s="134"/>
      <c r="AN928" s="134"/>
    </row>
    <row r="929" ht="15.75" customHeigh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305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  <c r="AE929" s="134"/>
      <c r="AF929" s="134"/>
      <c r="AG929" s="134"/>
      <c r="AH929" s="134"/>
      <c r="AI929" s="134"/>
      <c r="AJ929" s="134"/>
      <c r="AK929" s="134"/>
      <c r="AL929" s="134"/>
      <c r="AM929" s="134"/>
      <c r="AN929" s="134"/>
    </row>
    <row r="930" ht="15.75" customHeigh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305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  <c r="AE930" s="134"/>
      <c r="AF930" s="134"/>
      <c r="AG930" s="134"/>
      <c r="AH930" s="134"/>
      <c r="AI930" s="134"/>
      <c r="AJ930" s="134"/>
      <c r="AK930" s="134"/>
      <c r="AL930" s="134"/>
      <c r="AM930" s="134"/>
      <c r="AN930" s="134"/>
    </row>
    <row r="931" ht="15.75" customHeigh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305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  <c r="AE931" s="134"/>
      <c r="AF931" s="134"/>
      <c r="AG931" s="134"/>
      <c r="AH931" s="134"/>
      <c r="AI931" s="134"/>
      <c r="AJ931" s="134"/>
      <c r="AK931" s="134"/>
      <c r="AL931" s="134"/>
      <c r="AM931" s="134"/>
      <c r="AN931" s="134"/>
    </row>
    <row r="932" ht="15.75" customHeigh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305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  <c r="AE932" s="134"/>
      <c r="AF932" s="134"/>
      <c r="AG932" s="134"/>
      <c r="AH932" s="134"/>
      <c r="AI932" s="134"/>
      <c r="AJ932" s="134"/>
      <c r="AK932" s="134"/>
      <c r="AL932" s="134"/>
      <c r="AM932" s="134"/>
      <c r="AN932" s="134"/>
    </row>
    <row r="933" ht="15.75" customHeigh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305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  <c r="AE933" s="134"/>
      <c r="AF933" s="134"/>
      <c r="AG933" s="134"/>
      <c r="AH933" s="134"/>
      <c r="AI933" s="134"/>
      <c r="AJ933" s="134"/>
      <c r="AK933" s="134"/>
      <c r="AL933" s="134"/>
      <c r="AM933" s="134"/>
      <c r="AN933" s="134"/>
    </row>
    <row r="934" ht="15.75" customHeigh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305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  <c r="AE934" s="134"/>
      <c r="AF934" s="134"/>
      <c r="AG934" s="134"/>
      <c r="AH934" s="134"/>
      <c r="AI934" s="134"/>
      <c r="AJ934" s="134"/>
      <c r="AK934" s="134"/>
      <c r="AL934" s="134"/>
      <c r="AM934" s="134"/>
      <c r="AN934" s="134"/>
    </row>
    <row r="935" ht="15.75" customHeigh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305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  <c r="AE935" s="134"/>
      <c r="AF935" s="134"/>
      <c r="AG935" s="134"/>
      <c r="AH935" s="134"/>
      <c r="AI935" s="134"/>
      <c r="AJ935" s="134"/>
      <c r="AK935" s="134"/>
      <c r="AL935" s="134"/>
      <c r="AM935" s="134"/>
      <c r="AN935" s="134"/>
    </row>
    <row r="936" ht="15.75" customHeigh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305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  <c r="AE936" s="134"/>
      <c r="AF936" s="134"/>
      <c r="AG936" s="134"/>
      <c r="AH936" s="134"/>
      <c r="AI936" s="134"/>
      <c r="AJ936" s="134"/>
      <c r="AK936" s="134"/>
      <c r="AL936" s="134"/>
      <c r="AM936" s="134"/>
      <c r="AN936" s="134"/>
    </row>
    <row r="937" ht="15.75" customHeigh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305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  <c r="AF937" s="134"/>
      <c r="AG937" s="134"/>
      <c r="AH937" s="134"/>
      <c r="AI937" s="134"/>
      <c r="AJ937" s="134"/>
      <c r="AK937" s="134"/>
      <c r="AL937" s="134"/>
      <c r="AM937" s="134"/>
      <c r="AN937" s="134"/>
    </row>
    <row r="938" ht="15.75" customHeigh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305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  <c r="AE938" s="134"/>
      <c r="AF938" s="134"/>
      <c r="AG938" s="134"/>
      <c r="AH938" s="134"/>
      <c r="AI938" s="134"/>
      <c r="AJ938" s="134"/>
      <c r="AK938" s="134"/>
      <c r="AL938" s="134"/>
      <c r="AM938" s="134"/>
      <c r="AN938" s="134"/>
    </row>
    <row r="939" ht="15.75" customHeigh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305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  <c r="AE939" s="134"/>
      <c r="AF939" s="134"/>
      <c r="AG939" s="134"/>
      <c r="AH939" s="134"/>
      <c r="AI939" s="134"/>
      <c r="AJ939" s="134"/>
      <c r="AK939" s="134"/>
      <c r="AL939" s="134"/>
      <c r="AM939" s="134"/>
      <c r="AN939" s="134"/>
    </row>
    <row r="940" ht="15.75" customHeigh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305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  <c r="AE940" s="134"/>
      <c r="AF940" s="134"/>
      <c r="AG940" s="134"/>
      <c r="AH940" s="134"/>
      <c r="AI940" s="134"/>
      <c r="AJ940" s="134"/>
      <c r="AK940" s="134"/>
      <c r="AL940" s="134"/>
      <c r="AM940" s="134"/>
      <c r="AN940" s="134"/>
    </row>
    <row r="941" ht="15.75" customHeigh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305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  <c r="AE941" s="134"/>
      <c r="AF941" s="134"/>
      <c r="AG941" s="134"/>
      <c r="AH941" s="134"/>
      <c r="AI941" s="134"/>
      <c r="AJ941" s="134"/>
      <c r="AK941" s="134"/>
      <c r="AL941" s="134"/>
      <c r="AM941" s="134"/>
      <c r="AN941" s="134"/>
    </row>
    <row r="942" ht="15.75" customHeigh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305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  <c r="AE942" s="134"/>
      <c r="AF942" s="134"/>
      <c r="AG942" s="134"/>
      <c r="AH942" s="134"/>
      <c r="AI942" s="134"/>
      <c r="AJ942" s="134"/>
      <c r="AK942" s="134"/>
      <c r="AL942" s="134"/>
      <c r="AM942" s="134"/>
      <c r="AN942" s="134"/>
    </row>
    <row r="943" ht="15.75" customHeigh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305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  <c r="AE943" s="134"/>
      <c r="AF943" s="134"/>
      <c r="AG943" s="134"/>
      <c r="AH943" s="134"/>
      <c r="AI943" s="134"/>
      <c r="AJ943" s="134"/>
      <c r="AK943" s="134"/>
      <c r="AL943" s="134"/>
      <c r="AM943" s="134"/>
      <c r="AN943" s="134"/>
    </row>
    <row r="944" ht="15.75" customHeigh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305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  <c r="AE944" s="134"/>
      <c r="AF944" s="134"/>
      <c r="AG944" s="134"/>
      <c r="AH944" s="134"/>
      <c r="AI944" s="134"/>
      <c r="AJ944" s="134"/>
      <c r="AK944" s="134"/>
      <c r="AL944" s="134"/>
      <c r="AM944" s="134"/>
      <c r="AN944" s="134"/>
    </row>
    <row r="945" ht="15.75" customHeigh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305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  <c r="AE945" s="134"/>
      <c r="AF945" s="134"/>
      <c r="AG945" s="134"/>
      <c r="AH945" s="134"/>
      <c r="AI945" s="134"/>
      <c r="AJ945" s="134"/>
      <c r="AK945" s="134"/>
      <c r="AL945" s="134"/>
      <c r="AM945" s="134"/>
      <c r="AN945" s="134"/>
    </row>
    <row r="946" ht="15.75" customHeigh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305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  <c r="AE946" s="134"/>
      <c r="AF946" s="134"/>
      <c r="AG946" s="134"/>
      <c r="AH946" s="134"/>
      <c r="AI946" s="134"/>
      <c r="AJ946" s="134"/>
      <c r="AK946" s="134"/>
      <c r="AL946" s="134"/>
      <c r="AM946" s="134"/>
      <c r="AN946" s="134"/>
    </row>
    <row r="947" ht="15.75" customHeigh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305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  <c r="AE947" s="134"/>
      <c r="AF947" s="134"/>
      <c r="AG947" s="134"/>
      <c r="AH947" s="134"/>
      <c r="AI947" s="134"/>
      <c r="AJ947" s="134"/>
      <c r="AK947" s="134"/>
      <c r="AL947" s="134"/>
      <c r="AM947" s="134"/>
      <c r="AN947" s="134"/>
    </row>
    <row r="948" ht="15.75" customHeigh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305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  <c r="AE948" s="134"/>
      <c r="AF948" s="134"/>
      <c r="AG948" s="134"/>
      <c r="AH948" s="134"/>
      <c r="AI948" s="134"/>
      <c r="AJ948" s="134"/>
      <c r="AK948" s="134"/>
      <c r="AL948" s="134"/>
      <c r="AM948" s="134"/>
      <c r="AN948" s="134"/>
    </row>
    <row r="949" ht="15.75" customHeigh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305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  <c r="AE949" s="134"/>
      <c r="AF949" s="134"/>
      <c r="AG949" s="134"/>
      <c r="AH949" s="134"/>
      <c r="AI949" s="134"/>
      <c r="AJ949" s="134"/>
      <c r="AK949" s="134"/>
      <c r="AL949" s="134"/>
      <c r="AM949" s="134"/>
      <c r="AN949" s="134"/>
    </row>
    <row r="950" ht="15.75" customHeigh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305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  <c r="AE950" s="134"/>
      <c r="AF950" s="134"/>
      <c r="AG950" s="134"/>
      <c r="AH950" s="134"/>
      <c r="AI950" s="134"/>
      <c r="AJ950" s="134"/>
      <c r="AK950" s="134"/>
      <c r="AL950" s="134"/>
      <c r="AM950" s="134"/>
      <c r="AN950" s="134"/>
    </row>
    <row r="951" ht="15.75" customHeigh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305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  <c r="AE951" s="134"/>
      <c r="AF951" s="134"/>
      <c r="AG951" s="134"/>
      <c r="AH951" s="134"/>
      <c r="AI951" s="134"/>
      <c r="AJ951" s="134"/>
      <c r="AK951" s="134"/>
      <c r="AL951" s="134"/>
      <c r="AM951" s="134"/>
      <c r="AN951" s="134"/>
    </row>
    <row r="952" ht="15.75" customHeigh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305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  <c r="AE952" s="134"/>
      <c r="AF952" s="134"/>
      <c r="AG952" s="134"/>
      <c r="AH952" s="134"/>
      <c r="AI952" s="134"/>
      <c r="AJ952" s="134"/>
      <c r="AK952" s="134"/>
      <c r="AL952" s="134"/>
      <c r="AM952" s="134"/>
      <c r="AN952" s="134"/>
    </row>
    <row r="953" ht="15.75" customHeigh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305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  <c r="AE953" s="134"/>
      <c r="AF953" s="134"/>
      <c r="AG953" s="134"/>
      <c r="AH953" s="134"/>
      <c r="AI953" s="134"/>
      <c r="AJ953" s="134"/>
      <c r="AK953" s="134"/>
      <c r="AL953" s="134"/>
      <c r="AM953" s="134"/>
      <c r="AN953" s="134"/>
    </row>
    <row r="954" ht="15.75" customHeigh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305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  <c r="AE954" s="134"/>
      <c r="AF954" s="134"/>
      <c r="AG954" s="134"/>
      <c r="AH954" s="134"/>
      <c r="AI954" s="134"/>
      <c r="AJ954" s="134"/>
      <c r="AK954" s="134"/>
      <c r="AL954" s="134"/>
      <c r="AM954" s="134"/>
      <c r="AN954" s="134"/>
    </row>
    <row r="955" ht="15.75" customHeigh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305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  <c r="AE955" s="134"/>
      <c r="AF955" s="134"/>
      <c r="AG955" s="134"/>
      <c r="AH955" s="134"/>
      <c r="AI955" s="134"/>
      <c r="AJ955" s="134"/>
      <c r="AK955" s="134"/>
      <c r="AL955" s="134"/>
      <c r="AM955" s="134"/>
      <c r="AN955" s="134"/>
    </row>
    <row r="956" ht="15.75" customHeigh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305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  <c r="AE956" s="134"/>
      <c r="AF956" s="134"/>
      <c r="AG956" s="134"/>
      <c r="AH956" s="134"/>
      <c r="AI956" s="134"/>
      <c r="AJ956" s="134"/>
      <c r="AK956" s="134"/>
      <c r="AL956" s="134"/>
      <c r="AM956" s="134"/>
      <c r="AN956" s="134"/>
    </row>
    <row r="957" ht="15.75" customHeigh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305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  <c r="AE957" s="134"/>
      <c r="AF957" s="134"/>
      <c r="AG957" s="134"/>
      <c r="AH957" s="134"/>
      <c r="AI957" s="134"/>
      <c r="AJ957" s="134"/>
      <c r="AK957" s="134"/>
      <c r="AL957" s="134"/>
      <c r="AM957" s="134"/>
      <c r="AN957" s="134"/>
    </row>
    <row r="958" ht="15.75" customHeigh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305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  <c r="AE958" s="134"/>
      <c r="AF958" s="134"/>
      <c r="AG958" s="134"/>
      <c r="AH958" s="134"/>
      <c r="AI958" s="134"/>
      <c r="AJ958" s="134"/>
      <c r="AK958" s="134"/>
      <c r="AL958" s="134"/>
      <c r="AM958" s="134"/>
      <c r="AN958" s="134"/>
    </row>
    <row r="959" ht="15.75" customHeigh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305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  <c r="AE959" s="134"/>
      <c r="AF959" s="134"/>
      <c r="AG959" s="134"/>
      <c r="AH959" s="134"/>
      <c r="AI959" s="134"/>
      <c r="AJ959" s="134"/>
      <c r="AK959" s="134"/>
      <c r="AL959" s="134"/>
      <c r="AM959" s="134"/>
      <c r="AN959" s="134"/>
    </row>
    <row r="960" ht="15.75" customHeigh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305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  <c r="AE960" s="134"/>
      <c r="AF960" s="134"/>
      <c r="AG960" s="134"/>
      <c r="AH960" s="134"/>
      <c r="AI960" s="134"/>
      <c r="AJ960" s="134"/>
      <c r="AK960" s="134"/>
      <c r="AL960" s="134"/>
      <c r="AM960" s="134"/>
      <c r="AN960" s="134"/>
    </row>
    <row r="961" ht="15.75" customHeigh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305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  <c r="AE961" s="134"/>
      <c r="AF961" s="134"/>
      <c r="AG961" s="134"/>
      <c r="AH961" s="134"/>
      <c r="AI961" s="134"/>
      <c r="AJ961" s="134"/>
      <c r="AK961" s="134"/>
      <c r="AL961" s="134"/>
      <c r="AM961" s="134"/>
      <c r="AN961" s="134"/>
    </row>
    <row r="962" ht="15.75" customHeigh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305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  <c r="AE962" s="134"/>
      <c r="AF962" s="134"/>
      <c r="AG962" s="134"/>
      <c r="AH962" s="134"/>
      <c r="AI962" s="134"/>
      <c r="AJ962" s="134"/>
      <c r="AK962" s="134"/>
      <c r="AL962" s="134"/>
      <c r="AM962" s="134"/>
      <c r="AN962" s="134"/>
    </row>
    <row r="963" ht="15.75" customHeigh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305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  <c r="AE963" s="134"/>
      <c r="AF963" s="134"/>
      <c r="AG963" s="134"/>
      <c r="AH963" s="134"/>
      <c r="AI963" s="134"/>
      <c r="AJ963" s="134"/>
      <c r="AK963" s="134"/>
      <c r="AL963" s="134"/>
      <c r="AM963" s="134"/>
      <c r="AN963" s="134"/>
    </row>
    <row r="964" ht="15.75" customHeigh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305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  <c r="AE964" s="134"/>
      <c r="AF964" s="134"/>
      <c r="AG964" s="134"/>
      <c r="AH964" s="134"/>
      <c r="AI964" s="134"/>
      <c r="AJ964" s="134"/>
      <c r="AK964" s="134"/>
      <c r="AL964" s="134"/>
      <c r="AM964" s="134"/>
      <c r="AN964" s="134"/>
    </row>
    <row r="965" ht="15.75" customHeigh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305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  <c r="AE965" s="134"/>
      <c r="AF965" s="134"/>
      <c r="AG965" s="134"/>
      <c r="AH965" s="134"/>
      <c r="AI965" s="134"/>
      <c r="AJ965" s="134"/>
      <c r="AK965" s="134"/>
      <c r="AL965" s="134"/>
      <c r="AM965" s="134"/>
      <c r="AN965" s="134"/>
    </row>
    <row r="966" ht="15.75" customHeigh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305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  <c r="AF966" s="134"/>
      <c r="AG966" s="134"/>
      <c r="AH966" s="134"/>
      <c r="AI966" s="134"/>
      <c r="AJ966" s="134"/>
      <c r="AK966" s="134"/>
      <c r="AL966" s="134"/>
      <c r="AM966" s="134"/>
      <c r="AN966" s="134"/>
    </row>
    <row r="967" ht="15.75" customHeigh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305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  <c r="AE967" s="134"/>
      <c r="AF967" s="134"/>
      <c r="AG967" s="134"/>
      <c r="AH967" s="134"/>
      <c r="AI967" s="134"/>
      <c r="AJ967" s="134"/>
      <c r="AK967" s="134"/>
      <c r="AL967" s="134"/>
      <c r="AM967" s="134"/>
      <c r="AN967" s="134"/>
    </row>
    <row r="968" ht="15.75" customHeigh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305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  <c r="AE968" s="134"/>
      <c r="AF968" s="134"/>
      <c r="AG968" s="134"/>
      <c r="AH968" s="134"/>
      <c r="AI968" s="134"/>
      <c r="AJ968" s="134"/>
      <c r="AK968" s="134"/>
      <c r="AL968" s="134"/>
      <c r="AM968" s="134"/>
      <c r="AN968" s="134"/>
    </row>
    <row r="969" ht="15.75" customHeigh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305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  <c r="AE969" s="134"/>
      <c r="AF969" s="134"/>
      <c r="AG969" s="134"/>
      <c r="AH969" s="134"/>
      <c r="AI969" s="134"/>
      <c r="AJ969" s="134"/>
      <c r="AK969" s="134"/>
      <c r="AL969" s="134"/>
      <c r="AM969" s="134"/>
      <c r="AN969" s="134"/>
    </row>
    <row r="970" ht="15.75" customHeigh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305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  <c r="AE970" s="134"/>
      <c r="AF970" s="134"/>
      <c r="AG970" s="134"/>
      <c r="AH970" s="134"/>
      <c r="AI970" s="134"/>
      <c r="AJ970" s="134"/>
      <c r="AK970" s="134"/>
      <c r="AL970" s="134"/>
      <c r="AM970" s="134"/>
      <c r="AN970" s="134"/>
    </row>
    <row r="971" ht="15.75" customHeigh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305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  <c r="AE971" s="134"/>
      <c r="AF971" s="134"/>
      <c r="AG971" s="134"/>
      <c r="AH971" s="134"/>
      <c r="AI971" s="134"/>
      <c r="AJ971" s="134"/>
      <c r="AK971" s="134"/>
      <c r="AL971" s="134"/>
      <c r="AM971" s="134"/>
      <c r="AN971" s="134"/>
    </row>
    <row r="972" ht="15.75" customHeigh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305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  <c r="AE972" s="134"/>
      <c r="AF972" s="134"/>
      <c r="AG972" s="134"/>
      <c r="AH972" s="134"/>
      <c r="AI972" s="134"/>
      <c r="AJ972" s="134"/>
      <c r="AK972" s="134"/>
      <c r="AL972" s="134"/>
      <c r="AM972" s="134"/>
      <c r="AN972" s="134"/>
    </row>
    <row r="973" ht="15.75" customHeigh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305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  <c r="AE973" s="134"/>
      <c r="AF973" s="134"/>
      <c r="AG973" s="134"/>
      <c r="AH973" s="134"/>
      <c r="AI973" s="134"/>
      <c r="AJ973" s="134"/>
      <c r="AK973" s="134"/>
      <c r="AL973" s="134"/>
      <c r="AM973" s="134"/>
      <c r="AN973" s="134"/>
    </row>
    <row r="974" ht="15.75" customHeigh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305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  <c r="AE974" s="134"/>
      <c r="AF974" s="134"/>
      <c r="AG974" s="134"/>
      <c r="AH974" s="134"/>
      <c r="AI974" s="134"/>
      <c r="AJ974" s="134"/>
      <c r="AK974" s="134"/>
      <c r="AL974" s="134"/>
      <c r="AM974" s="134"/>
      <c r="AN974" s="134"/>
    </row>
    <row r="975" ht="15.75" customHeigh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305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  <c r="AE975" s="134"/>
      <c r="AF975" s="134"/>
      <c r="AG975" s="134"/>
      <c r="AH975" s="134"/>
      <c r="AI975" s="134"/>
      <c r="AJ975" s="134"/>
      <c r="AK975" s="134"/>
      <c r="AL975" s="134"/>
      <c r="AM975" s="134"/>
      <c r="AN975" s="134"/>
    </row>
    <row r="976" ht="15.75" customHeigh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305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  <c r="AE976" s="134"/>
      <c r="AF976" s="134"/>
      <c r="AG976" s="134"/>
      <c r="AH976" s="134"/>
      <c r="AI976" s="134"/>
      <c r="AJ976" s="134"/>
      <c r="AK976" s="134"/>
      <c r="AL976" s="134"/>
      <c r="AM976" s="134"/>
      <c r="AN976" s="134"/>
    </row>
    <row r="977" ht="15.75" customHeigh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305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  <c r="AE977" s="134"/>
      <c r="AF977" s="134"/>
      <c r="AG977" s="134"/>
      <c r="AH977" s="134"/>
      <c r="AI977" s="134"/>
      <c r="AJ977" s="134"/>
      <c r="AK977" s="134"/>
      <c r="AL977" s="134"/>
      <c r="AM977" s="134"/>
      <c r="AN977" s="134"/>
    </row>
    <row r="978" ht="15.75" customHeigh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305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  <c r="AE978" s="134"/>
      <c r="AF978" s="134"/>
      <c r="AG978" s="134"/>
      <c r="AH978" s="134"/>
      <c r="AI978" s="134"/>
      <c r="AJ978" s="134"/>
      <c r="AK978" s="134"/>
      <c r="AL978" s="134"/>
      <c r="AM978" s="134"/>
      <c r="AN978" s="134"/>
    </row>
    <row r="979" ht="15.75" customHeigh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305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  <c r="AE979" s="134"/>
      <c r="AF979" s="134"/>
      <c r="AG979" s="134"/>
      <c r="AH979" s="134"/>
      <c r="AI979" s="134"/>
      <c r="AJ979" s="134"/>
      <c r="AK979" s="134"/>
      <c r="AL979" s="134"/>
      <c r="AM979" s="134"/>
      <c r="AN979" s="134"/>
    </row>
    <row r="980" ht="15.75" customHeigh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305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  <c r="AE980" s="134"/>
      <c r="AF980" s="134"/>
      <c r="AG980" s="134"/>
      <c r="AH980" s="134"/>
      <c r="AI980" s="134"/>
      <c r="AJ980" s="134"/>
      <c r="AK980" s="134"/>
      <c r="AL980" s="134"/>
      <c r="AM980" s="134"/>
      <c r="AN980" s="134"/>
    </row>
    <row r="981" ht="15.75" customHeigh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305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  <c r="AE981" s="134"/>
      <c r="AF981" s="134"/>
      <c r="AG981" s="134"/>
      <c r="AH981" s="134"/>
      <c r="AI981" s="134"/>
      <c r="AJ981" s="134"/>
      <c r="AK981" s="134"/>
      <c r="AL981" s="134"/>
      <c r="AM981" s="134"/>
      <c r="AN981" s="134"/>
    </row>
    <row r="982" ht="15.75" customHeigh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305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  <c r="AE982" s="134"/>
      <c r="AF982" s="134"/>
      <c r="AG982" s="134"/>
      <c r="AH982" s="134"/>
      <c r="AI982" s="134"/>
      <c r="AJ982" s="134"/>
      <c r="AK982" s="134"/>
      <c r="AL982" s="134"/>
      <c r="AM982" s="134"/>
      <c r="AN982" s="134"/>
    </row>
    <row r="983" ht="15.75" customHeigh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305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  <c r="AE983" s="134"/>
      <c r="AF983" s="134"/>
      <c r="AG983" s="134"/>
      <c r="AH983" s="134"/>
      <c r="AI983" s="134"/>
      <c r="AJ983" s="134"/>
      <c r="AK983" s="134"/>
      <c r="AL983" s="134"/>
      <c r="AM983" s="134"/>
      <c r="AN983" s="134"/>
    </row>
    <row r="984" ht="15.75" customHeigh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305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  <c r="AE984" s="134"/>
      <c r="AF984" s="134"/>
      <c r="AG984" s="134"/>
      <c r="AH984" s="134"/>
      <c r="AI984" s="134"/>
      <c r="AJ984" s="134"/>
      <c r="AK984" s="134"/>
      <c r="AL984" s="134"/>
      <c r="AM984" s="134"/>
      <c r="AN984" s="134"/>
    </row>
    <row r="985" ht="15.75" customHeigh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305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  <c r="AE985" s="134"/>
      <c r="AF985" s="134"/>
      <c r="AG985" s="134"/>
      <c r="AH985" s="134"/>
      <c r="AI985" s="134"/>
      <c r="AJ985" s="134"/>
      <c r="AK985" s="134"/>
      <c r="AL985" s="134"/>
      <c r="AM985" s="134"/>
      <c r="AN985" s="134"/>
    </row>
    <row r="986" ht="15.75" customHeigh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305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  <c r="AE986" s="134"/>
      <c r="AF986" s="134"/>
      <c r="AG986" s="134"/>
      <c r="AH986" s="134"/>
      <c r="AI986" s="134"/>
      <c r="AJ986" s="134"/>
      <c r="AK986" s="134"/>
      <c r="AL986" s="134"/>
      <c r="AM986" s="134"/>
      <c r="AN986" s="134"/>
    </row>
    <row r="987" ht="15.75" customHeigh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305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  <c r="AE987" s="134"/>
      <c r="AF987" s="134"/>
      <c r="AG987" s="134"/>
      <c r="AH987" s="134"/>
      <c r="AI987" s="134"/>
      <c r="AJ987" s="134"/>
      <c r="AK987" s="134"/>
      <c r="AL987" s="134"/>
      <c r="AM987" s="134"/>
      <c r="AN987" s="134"/>
    </row>
    <row r="988" ht="15.75" customHeigh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305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  <c r="AE988" s="134"/>
      <c r="AF988" s="134"/>
      <c r="AG988" s="134"/>
      <c r="AH988" s="134"/>
      <c r="AI988" s="134"/>
      <c r="AJ988" s="134"/>
      <c r="AK988" s="134"/>
      <c r="AL988" s="134"/>
      <c r="AM988" s="134"/>
      <c r="AN988" s="134"/>
    </row>
    <row r="989" ht="15.75" customHeigh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305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  <c r="AE989" s="134"/>
      <c r="AF989" s="134"/>
      <c r="AG989" s="134"/>
      <c r="AH989" s="134"/>
      <c r="AI989" s="134"/>
      <c r="AJ989" s="134"/>
      <c r="AK989" s="134"/>
      <c r="AL989" s="134"/>
      <c r="AM989" s="134"/>
      <c r="AN989" s="134"/>
    </row>
    <row r="990" ht="15.75" customHeigh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305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  <c r="AE990" s="134"/>
      <c r="AF990" s="134"/>
      <c r="AG990" s="134"/>
      <c r="AH990" s="134"/>
      <c r="AI990" s="134"/>
      <c r="AJ990" s="134"/>
      <c r="AK990" s="134"/>
      <c r="AL990" s="134"/>
      <c r="AM990" s="134"/>
      <c r="AN990" s="134"/>
    </row>
    <row r="991" ht="15.75" customHeigh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305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  <c r="AE991" s="134"/>
      <c r="AF991" s="134"/>
      <c r="AG991" s="134"/>
      <c r="AH991" s="134"/>
      <c r="AI991" s="134"/>
      <c r="AJ991" s="134"/>
      <c r="AK991" s="134"/>
      <c r="AL991" s="134"/>
      <c r="AM991" s="134"/>
      <c r="AN991" s="134"/>
    </row>
    <row r="992" ht="15.75" customHeight="1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305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  <c r="AE992" s="134"/>
      <c r="AF992" s="134"/>
      <c r="AG992" s="134"/>
      <c r="AH992" s="134"/>
      <c r="AI992" s="134"/>
      <c r="AJ992" s="134"/>
      <c r="AK992" s="134"/>
      <c r="AL992" s="134"/>
      <c r="AM992" s="134"/>
      <c r="AN992" s="134"/>
    </row>
    <row r="993" ht="15.75" customHeight="1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305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  <c r="AE993" s="134"/>
      <c r="AF993" s="134"/>
      <c r="AG993" s="134"/>
      <c r="AH993" s="134"/>
      <c r="AI993" s="134"/>
      <c r="AJ993" s="134"/>
      <c r="AK993" s="134"/>
      <c r="AL993" s="134"/>
      <c r="AM993" s="134"/>
      <c r="AN993" s="134"/>
    </row>
    <row r="994" ht="15.75" customHeight="1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305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  <c r="AG994" s="134"/>
      <c r="AH994" s="134"/>
      <c r="AI994" s="134"/>
      <c r="AJ994" s="134"/>
      <c r="AK994" s="134"/>
      <c r="AL994" s="134"/>
      <c r="AM994" s="134"/>
      <c r="AN994" s="134"/>
    </row>
    <row r="995" ht="15.75" customHeight="1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305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  <c r="AE995" s="134"/>
      <c r="AF995" s="134"/>
      <c r="AG995" s="134"/>
      <c r="AH995" s="134"/>
      <c r="AI995" s="134"/>
      <c r="AJ995" s="134"/>
      <c r="AK995" s="134"/>
      <c r="AL995" s="134"/>
      <c r="AM995" s="134"/>
      <c r="AN995" s="134"/>
    </row>
    <row r="996" ht="15.75" customHeight="1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305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  <c r="AE996" s="134"/>
      <c r="AF996" s="134"/>
      <c r="AG996" s="134"/>
      <c r="AH996" s="134"/>
      <c r="AI996" s="134"/>
      <c r="AJ996" s="134"/>
      <c r="AK996" s="134"/>
      <c r="AL996" s="134"/>
      <c r="AM996" s="134"/>
      <c r="AN996" s="134"/>
    </row>
    <row r="997" ht="15.75" customHeight="1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305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  <c r="AE997" s="134"/>
      <c r="AF997" s="134"/>
      <c r="AG997" s="134"/>
      <c r="AH997" s="134"/>
      <c r="AI997" s="134"/>
      <c r="AJ997" s="134"/>
      <c r="AK997" s="134"/>
      <c r="AL997" s="134"/>
      <c r="AM997" s="134"/>
      <c r="AN997" s="134"/>
    </row>
    <row r="998" ht="15.75" customHeight="1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305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  <c r="AE998" s="134"/>
      <c r="AF998" s="134"/>
      <c r="AG998" s="134"/>
      <c r="AH998" s="134"/>
      <c r="AI998" s="134"/>
      <c r="AJ998" s="134"/>
      <c r="AK998" s="134"/>
      <c r="AL998" s="134"/>
      <c r="AM998" s="134"/>
      <c r="AN998" s="134"/>
    </row>
    <row r="999" ht="15.75" customHeight="1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305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  <c r="AE999" s="134"/>
      <c r="AF999" s="134"/>
      <c r="AG999" s="134"/>
      <c r="AH999" s="134"/>
      <c r="AI999" s="134"/>
      <c r="AJ999" s="134"/>
      <c r="AK999" s="134"/>
      <c r="AL999" s="134"/>
      <c r="AM999" s="134"/>
      <c r="AN999" s="134"/>
    </row>
    <row r="1000" ht="15.75" customHeight="1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305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  <c r="AE1000" s="134"/>
      <c r="AF1000" s="134"/>
      <c r="AG1000" s="134"/>
      <c r="AH1000" s="134"/>
      <c r="AI1000" s="134"/>
      <c r="AJ1000" s="134"/>
      <c r="AK1000" s="134"/>
      <c r="AL1000" s="134"/>
      <c r="AM1000" s="134"/>
      <c r="AN1000" s="134"/>
    </row>
  </sheetData>
  <conditionalFormatting sqref="B28:M57">
    <cfRule type="expression" dxfId="8" priority="1" stopIfTrue="1">
      <formula>B28&lt;&gt;""</formula>
    </cfRule>
  </conditionalFormatting>
  <conditionalFormatting sqref="X28:X42">
    <cfRule type="expression" dxfId="9" priority="2" stopIfTrue="1">
      <formula>X28&lt;&gt;""</formula>
    </cfRule>
  </conditionalFormatting>
  <dataValidations>
    <dataValidation type="list" allowBlank="1" showErrorMessage="1" sqref="A28:A42">
      <formula1>"Y,N"</formula1>
    </dataValidation>
  </dataValidations>
  <printOptions/>
  <pageMargins bottom="0.75" footer="0.0" header="0.0" left="0.7" right="0.7" top="0.75"/>
  <pageSetup scale="7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0.29"/>
    <col customWidth="1" min="3" max="3" width="9.29"/>
    <col customWidth="1" min="4" max="4" width="13.57"/>
    <col customWidth="1" min="5" max="6" width="11.0"/>
    <col customWidth="1" min="7" max="7" width="4.86"/>
    <col customWidth="1" min="8" max="8" width="10.0"/>
    <col customWidth="1" min="9" max="10" width="14.57"/>
    <col customWidth="1" min="11" max="11" width="11.0"/>
    <col customWidth="1" min="12" max="12" width="10.71"/>
    <col customWidth="1" min="13" max="13" width="10.0"/>
    <col customWidth="1" min="14" max="16" width="9.29"/>
    <col customWidth="1" min="17" max="17" width="10.29"/>
    <col customWidth="1" min="18" max="18" width="14.29"/>
    <col customWidth="1" min="19" max="20" width="9.71"/>
    <col customWidth="1" min="21" max="21" width="4.57"/>
    <col customWidth="1" min="22" max="28" width="9.29"/>
  </cols>
  <sheetData>
    <row r="1" ht="12.75" customHeight="1">
      <c r="A1" s="318"/>
      <c r="B1" s="319" t="s">
        <v>103</v>
      </c>
      <c r="C1" s="318"/>
      <c r="D1" s="319" t="s">
        <v>202</v>
      </c>
      <c r="E1" s="318"/>
      <c r="F1" s="319" t="s">
        <v>79</v>
      </c>
      <c r="G1" s="318"/>
      <c r="H1" s="318"/>
      <c r="I1" s="319" t="s">
        <v>153</v>
      </c>
      <c r="J1" s="318"/>
      <c r="K1" s="320" t="s">
        <v>203</v>
      </c>
      <c r="L1" s="320" t="s">
        <v>204</v>
      </c>
      <c r="M1" s="320" t="s">
        <v>191</v>
      </c>
      <c r="N1" s="321"/>
      <c r="O1" s="321"/>
      <c r="P1" s="318"/>
      <c r="Q1" s="320" t="s">
        <v>127</v>
      </c>
      <c r="R1" s="320" t="s">
        <v>205</v>
      </c>
      <c r="S1" s="320" t="s">
        <v>206</v>
      </c>
      <c r="T1" s="320" t="s">
        <v>190</v>
      </c>
      <c r="U1" s="320" t="s">
        <v>207</v>
      </c>
      <c r="V1" s="318"/>
      <c r="W1" s="318"/>
      <c r="X1" s="318"/>
      <c r="Y1" s="318"/>
      <c r="Z1" s="318"/>
      <c r="AA1" s="318">
        <v>10.0</v>
      </c>
      <c r="AB1" s="318">
        <f>VLOOKUP(AA1,$Z$2:$AA$14,2,0)</f>
        <v>10</v>
      </c>
    </row>
    <row r="2" ht="12.75" customHeight="1">
      <c r="A2" s="322">
        <v>1.0</v>
      </c>
      <c r="B2" s="323" t="s">
        <v>208</v>
      </c>
      <c r="C2" s="321">
        <v>1.0</v>
      </c>
      <c r="D2" s="323" t="s">
        <v>209</v>
      </c>
      <c r="E2" s="321">
        <v>1.0</v>
      </c>
      <c r="F2" s="323" t="s">
        <v>210</v>
      </c>
      <c r="G2" s="321"/>
      <c r="H2" s="321">
        <v>1.0</v>
      </c>
      <c r="I2" s="324" t="s">
        <v>211</v>
      </c>
      <c r="J2" s="321"/>
      <c r="K2" s="323">
        <v>0.0</v>
      </c>
      <c r="L2" s="323">
        <v>6.0</v>
      </c>
      <c r="M2" s="323" t="s">
        <v>195</v>
      </c>
      <c r="N2" s="321"/>
      <c r="O2" s="321"/>
      <c r="P2" s="321"/>
      <c r="Q2" s="325">
        <v>6.0</v>
      </c>
      <c r="R2" s="325" t="s">
        <v>212</v>
      </c>
      <c r="S2" s="325" t="s">
        <v>213</v>
      </c>
      <c r="T2" s="325" t="str">
        <f t="shared" ref="T2:T77" si="1">Q2&amp;"-"&amp;R2&amp;"-"&amp;S2</f>
        <v>6-T-U</v>
      </c>
      <c r="U2" s="326">
        <v>0.1866</v>
      </c>
      <c r="V2" s="321"/>
      <c r="W2" s="321"/>
      <c r="X2" s="321"/>
      <c r="Y2" s="321"/>
      <c r="Z2" s="321">
        <v>1.0</v>
      </c>
      <c r="AA2" s="322">
        <v>1.0</v>
      </c>
      <c r="AB2" s="321"/>
    </row>
    <row r="3" ht="12.75" customHeight="1">
      <c r="A3" s="322">
        <f t="shared" ref="A3:A6" si="2">A2+1</f>
        <v>2</v>
      </c>
      <c r="B3" s="327" t="s">
        <v>214</v>
      </c>
      <c r="C3" s="321">
        <f>C2+1</f>
        <v>2</v>
      </c>
      <c r="D3" s="323" t="s">
        <v>215</v>
      </c>
      <c r="E3" s="321">
        <f t="shared" ref="E3:E6" si="3">E2+1</f>
        <v>2</v>
      </c>
      <c r="F3" s="323" t="s">
        <v>216</v>
      </c>
      <c r="G3" s="321"/>
      <c r="H3" s="321">
        <f>H2+1</f>
        <v>2</v>
      </c>
      <c r="I3" s="324" t="s">
        <v>80</v>
      </c>
      <c r="J3" s="321"/>
      <c r="K3" s="323">
        <v>7.0</v>
      </c>
      <c r="L3" s="323">
        <v>11.0</v>
      </c>
      <c r="M3" s="323" t="s">
        <v>195</v>
      </c>
      <c r="N3" s="321"/>
      <c r="O3" s="321"/>
      <c r="P3" s="321"/>
      <c r="Q3" s="325">
        <v>26.0</v>
      </c>
      <c r="R3" s="325" t="s">
        <v>212</v>
      </c>
      <c r="S3" s="325" t="s">
        <v>213</v>
      </c>
      <c r="T3" s="325" t="str">
        <f t="shared" si="1"/>
        <v>26-T-U</v>
      </c>
      <c r="U3" s="326">
        <v>0.29</v>
      </c>
      <c r="V3" s="321"/>
      <c r="W3" s="321"/>
      <c r="X3" s="321"/>
      <c r="Y3" s="321"/>
      <c r="Z3" s="321">
        <v>2.0</v>
      </c>
      <c r="AA3" s="322">
        <v>2.0</v>
      </c>
      <c r="AB3" s="321"/>
    </row>
    <row r="4" ht="12.75" customHeight="1">
      <c r="A4" s="322">
        <f t="shared" si="2"/>
        <v>3</v>
      </c>
      <c r="B4" s="327" t="s">
        <v>217</v>
      </c>
      <c r="C4" s="321">
        <v>3.0</v>
      </c>
      <c r="D4" s="327" t="s">
        <v>11</v>
      </c>
      <c r="E4" s="321">
        <f t="shared" si="3"/>
        <v>3</v>
      </c>
      <c r="F4" s="323" t="s">
        <v>218</v>
      </c>
      <c r="G4" s="321"/>
      <c r="H4" s="321"/>
      <c r="I4" s="328" t="str">
        <f t="array" ref="I4">XLOOKUP(INPUT!H8, I2:I3, H2:H3, "")</f>
        <v/>
      </c>
      <c r="J4" s="322"/>
      <c r="K4" s="323">
        <v>12.0</v>
      </c>
      <c r="L4" s="323">
        <v>1000.0</v>
      </c>
      <c r="M4" s="323" t="s">
        <v>219</v>
      </c>
      <c r="N4" s="321"/>
      <c r="O4" s="321"/>
      <c r="P4" s="321"/>
      <c r="Q4" s="325">
        <v>38.0</v>
      </c>
      <c r="R4" s="325" t="s">
        <v>212</v>
      </c>
      <c r="S4" s="325" t="s">
        <v>213</v>
      </c>
      <c r="T4" s="325" t="str">
        <f t="shared" si="1"/>
        <v>38-T-U</v>
      </c>
      <c r="U4" s="326">
        <v>0.2779</v>
      </c>
      <c r="V4" s="321"/>
      <c r="W4" s="321"/>
      <c r="X4" s="321"/>
      <c r="Y4" s="321"/>
      <c r="Z4" s="321">
        <v>3.0</v>
      </c>
      <c r="AA4" s="322">
        <v>3.0</v>
      </c>
      <c r="AB4" s="321"/>
    </row>
    <row r="5" ht="12.75" customHeight="1">
      <c r="A5" s="322">
        <f t="shared" si="2"/>
        <v>4</v>
      </c>
      <c r="B5" s="327" t="s">
        <v>220</v>
      </c>
      <c r="C5" s="321"/>
      <c r="D5" s="321"/>
      <c r="E5" s="321">
        <f t="shared" si="3"/>
        <v>4</v>
      </c>
      <c r="F5" s="323" t="s">
        <v>221</v>
      </c>
      <c r="G5" s="321"/>
      <c r="H5" s="321"/>
      <c r="I5" s="328" t="str">
        <f>VLOOKUP(I4,H2:I3,2,0)</f>
        <v>#N/A</v>
      </c>
      <c r="J5" s="322"/>
      <c r="K5" s="322"/>
      <c r="L5" s="321"/>
      <c r="M5" s="321"/>
      <c r="N5" s="321"/>
      <c r="O5" s="321"/>
      <c r="P5" s="321"/>
      <c r="Q5" s="325">
        <v>59.0</v>
      </c>
      <c r="R5" s="325" t="s">
        <v>212</v>
      </c>
      <c r="S5" s="325" t="s">
        <v>213</v>
      </c>
      <c r="T5" s="325" t="str">
        <f t="shared" si="1"/>
        <v>59-T-U</v>
      </c>
      <c r="U5" s="326">
        <v>0.37</v>
      </c>
      <c r="V5" s="321"/>
      <c r="W5" s="321"/>
      <c r="X5" s="321"/>
      <c r="Y5" s="321"/>
      <c r="Z5" s="321">
        <v>4.0</v>
      </c>
      <c r="AA5" s="322">
        <v>4.0</v>
      </c>
      <c r="AB5" s="321"/>
    </row>
    <row r="6" ht="12.75" customHeight="1">
      <c r="A6" s="322">
        <f t="shared" si="2"/>
        <v>5</v>
      </c>
      <c r="B6" s="327" t="s">
        <v>11</v>
      </c>
      <c r="C6" s="321"/>
      <c r="D6" s="328" t="str">
        <f t="array" ref="D6">XLOOKUP(INPUT!H6, D2:D4, C2:C4, "")</f>
        <v/>
      </c>
      <c r="E6" s="321">
        <f t="shared" si="3"/>
        <v>5</v>
      </c>
      <c r="F6" s="323" t="s">
        <v>222</v>
      </c>
      <c r="G6" s="321"/>
      <c r="H6" s="321"/>
      <c r="I6" s="321"/>
      <c r="J6" s="322"/>
      <c r="K6" s="322"/>
      <c r="L6" s="321"/>
      <c r="M6" s="321"/>
      <c r="N6" s="321"/>
      <c r="O6" s="321"/>
      <c r="P6" s="321"/>
      <c r="Q6" s="325">
        <v>8.0</v>
      </c>
      <c r="R6" s="325" t="s">
        <v>223</v>
      </c>
      <c r="S6" s="325" t="s">
        <v>213</v>
      </c>
      <c r="T6" s="325" t="str">
        <f t="shared" si="1"/>
        <v>8-E-U</v>
      </c>
      <c r="U6" s="326">
        <v>0.05</v>
      </c>
      <c r="V6" s="321"/>
      <c r="W6" s="321"/>
      <c r="X6" s="321"/>
      <c r="Y6" s="321"/>
      <c r="Z6" s="321">
        <v>5.0</v>
      </c>
      <c r="AA6" s="322">
        <v>5.0</v>
      </c>
      <c r="AB6" s="321"/>
    </row>
    <row r="7" ht="12.75" customHeight="1">
      <c r="A7" s="321"/>
      <c r="B7" s="321"/>
      <c r="C7" s="321"/>
      <c r="D7" s="328" t="str">
        <f>VLOOKUP(D6,$C$2:$D$4,2,0)</f>
        <v>#N/A</v>
      </c>
      <c r="E7" s="321"/>
      <c r="F7" s="328" t="str">
        <f t="array" ref="F7">XLOOKUP(INPUT!H7, F2:F6, E2:E6, "")</f>
        <v/>
      </c>
      <c r="G7" s="322"/>
      <c r="H7" s="321"/>
      <c r="I7" s="329" t="str">
        <f>IF(I5="Yes",6,IF(AND(B9="Self Employed",C13="NTI",E11&lt;=99999),1,IF(AND(B9="Self Employed",C13="HBC",E11&lt;=99999),2,IF(AND(B9="Self Employed",C13="NTI",E11&gt;=100000),2,IF(AND(B9="Self Employed",C13="HBC",E11&gt;=100000),3,IF(AND(D30="EB",C13="NTI",E11&lt;=100000),1.5,IF(AND(D30="EB",C13="HBC",E11&lt;=100000),2,IF(AND(D30="EB",C13="NTI",E11&lt;200000),2,IF(AND(D30="EB",C13="HBC",E11&lt;200000),3,IF(AND(D30="EB",C13="NTI",E11&gt;=200000),4,IF(AND(D30="EB",C13="HBC",E11&gt;=200000),5,IF(AND(B10="LTM",C13="NTI"),LOOKUP(E11,$H$9:$I$12,$J$9:$J$12),IF(AND(B10="LTM",C13="HBC"),LOOKUP(E11,$H$9:$I$12,K9:K12),IF(AND(B10="STM",C13="NTI"),LOOKUP(E11,$H$9:$I$12,$L$9:$L$12),IF(AND(B10="STM",C13="HBC"),LOOKUP(E11,$H$9:$I$12,$M$9:$M$12))))))))))))))))</f>
        <v>#N/A</v>
      </c>
      <c r="J7" s="330" t="s">
        <v>224</v>
      </c>
      <c r="K7" s="331"/>
      <c r="L7" s="330" t="s">
        <v>225</v>
      </c>
      <c r="M7" s="331"/>
      <c r="N7" s="330" t="s">
        <v>11</v>
      </c>
      <c r="O7" s="331"/>
      <c r="P7" s="321"/>
      <c r="Q7" s="325">
        <v>34.0</v>
      </c>
      <c r="R7" s="325" t="s">
        <v>223</v>
      </c>
      <c r="S7" s="325" t="s">
        <v>213</v>
      </c>
      <c r="T7" s="325" t="str">
        <f t="shared" si="1"/>
        <v>34-E-U</v>
      </c>
      <c r="U7" s="326">
        <v>0.2779</v>
      </c>
      <c r="V7" s="321"/>
      <c r="W7" s="321"/>
      <c r="X7" s="321"/>
      <c r="Y7" s="321"/>
      <c r="Z7" s="321">
        <v>6.0</v>
      </c>
      <c r="AA7" s="322">
        <v>6.0</v>
      </c>
      <c r="AB7" s="321"/>
    </row>
    <row r="8" ht="12.75" customHeight="1">
      <c r="A8" s="321"/>
      <c r="B8" s="328" t="str">
        <f t="array" ref="B8">XLOOKUP(INPUT!H5, B2:B6, A2:A6, "")</f>
        <v/>
      </c>
      <c r="C8" s="321"/>
      <c r="D8" s="321"/>
      <c r="E8" s="321"/>
      <c r="F8" s="328" t="str">
        <f>VLOOKUP(F7,$E$2:$F$6,2,0)</f>
        <v>#N/A</v>
      </c>
      <c r="G8" s="322"/>
      <c r="H8" s="332" t="s">
        <v>226</v>
      </c>
      <c r="I8" s="333"/>
      <c r="J8" s="334" t="s">
        <v>195</v>
      </c>
      <c r="K8" s="334" t="s">
        <v>219</v>
      </c>
      <c r="L8" s="334" t="s">
        <v>195</v>
      </c>
      <c r="M8" s="334" t="s">
        <v>219</v>
      </c>
      <c r="N8" s="334" t="s">
        <v>195</v>
      </c>
      <c r="O8" s="335" t="s">
        <v>219</v>
      </c>
      <c r="P8" s="321"/>
      <c r="Q8" s="325">
        <v>38.0</v>
      </c>
      <c r="R8" s="325" t="s">
        <v>223</v>
      </c>
      <c r="S8" s="325" t="s">
        <v>213</v>
      </c>
      <c r="T8" s="325" t="str">
        <f t="shared" si="1"/>
        <v>38-E-U</v>
      </c>
      <c r="U8" s="326">
        <v>0.2779</v>
      </c>
      <c r="V8" s="321"/>
      <c r="W8" s="321"/>
      <c r="X8" s="321"/>
      <c r="Y8" s="321"/>
      <c r="Z8" s="321">
        <v>7.0</v>
      </c>
      <c r="AA8" s="322">
        <v>7.0</v>
      </c>
      <c r="AB8" s="321"/>
    </row>
    <row r="9" ht="12.75" customHeight="1">
      <c r="A9" s="321"/>
      <c r="B9" s="328" t="str">
        <f>VLOOKUP(B8,$A$2:$B$6,2,0)</f>
        <v>#N/A</v>
      </c>
      <c r="C9" s="322" t="str">
        <f>VLOOKUP(B9,I16:J20,2,0)</f>
        <v>#N/A</v>
      </c>
      <c r="D9" s="321" t="str">
        <f>IF(AND(B8=5,D6&lt;4),"Wrong Emp. Cat Selected",IF(AND(B8&lt;5,D6=4),"Wrong Emp. Cat Selected",""))</f>
        <v/>
      </c>
      <c r="E9" s="321"/>
      <c r="F9" s="321"/>
      <c r="G9" s="321"/>
      <c r="H9" s="336">
        <v>1.0</v>
      </c>
      <c r="I9" s="337">
        <v>70000.0</v>
      </c>
      <c r="J9" s="338" t="str">
        <f>IF(D7="Permanent",2,1.5)</f>
        <v>#N/A</v>
      </c>
      <c r="K9" s="338" t="str">
        <f>IF(D7="Permanent",3,2)</f>
        <v>#N/A</v>
      </c>
      <c r="L9" s="338" t="str">
        <f>IF(D7="Permanent",1.5,1)</f>
        <v>#N/A</v>
      </c>
      <c r="M9" s="338" t="str">
        <f>IF(D7="Permanent",2,1.5)</f>
        <v>#N/A</v>
      </c>
      <c r="N9" s="338">
        <v>1.0</v>
      </c>
      <c r="O9" s="339" t="str">
        <f>IF(D7="Permanent",2,0)</f>
        <v>#N/A</v>
      </c>
      <c r="P9" s="321"/>
      <c r="Q9" s="325">
        <v>54.0</v>
      </c>
      <c r="R9" s="325" t="s">
        <v>223</v>
      </c>
      <c r="S9" s="325" t="s">
        <v>213</v>
      </c>
      <c r="T9" s="325" t="str">
        <f t="shared" si="1"/>
        <v>54-E-U</v>
      </c>
      <c r="U9" s="326">
        <v>0.2779</v>
      </c>
      <c r="V9" s="321"/>
      <c r="W9" s="321"/>
      <c r="X9" s="321"/>
      <c r="Y9" s="321"/>
      <c r="Z9" s="321">
        <v>8.0</v>
      </c>
      <c r="AA9" s="322">
        <v>8.0</v>
      </c>
      <c r="AB9" s="321"/>
    </row>
    <row r="10" ht="12.75" customHeight="1">
      <c r="A10" s="321"/>
      <c r="B10" s="328" t="str">
        <f>IF(B8&lt;=2,"LTM","STM")</f>
        <v>STM</v>
      </c>
      <c r="C10" s="321"/>
      <c r="D10" s="321"/>
      <c r="E10" s="340" t="s">
        <v>227</v>
      </c>
      <c r="F10" s="321"/>
      <c r="G10" s="321"/>
      <c r="H10" s="336">
        <v>70001.0</v>
      </c>
      <c r="I10" s="337">
        <v>100000.0</v>
      </c>
      <c r="J10" s="338" t="str">
        <f>IF(D7="Permanent",3,2)</f>
        <v>#N/A</v>
      </c>
      <c r="K10" s="338" t="str">
        <f>IF(D7="Permanent",4,3)</f>
        <v>#N/A</v>
      </c>
      <c r="L10" s="338" t="str">
        <f>IF(D7="Permanent",1.5,1)</f>
        <v>#N/A</v>
      </c>
      <c r="M10" s="338" t="str">
        <f>IF(D7="Permanent",2,1.5)</f>
        <v>#N/A</v>
      </c>
      <c r="N10" s="338">
        <v>1.0</v>
      </c>
      <c r="O10" s="339" t="str">
        <f>IF(D7="Permanent",2,0)</f>
        <v>#N/A</v>
      </c>
      <c r="P10" s="321"/>
      <c r="Q10" s="325">
        <v>1.0</v>
      </c>
      <c r="R10" s="325" t="s">
        <v>212</v>
      </c>
      <c r="S10" s="325" t="s">
        <v>228</v>
      </c>
      <c r="T10" s="325" t="str">
        <f t="shared" si="1"/>
        <v>1-T-S</v>
      </c>
      <c r="U10" s="326">
        <v>0.28</v>
      </c>
      <c r="V10" s="321"/>
      <c r="W10" s="321"/>
      <c r="X10" s="321"/>
      <c r="Y10" s="321"/>
      <c r="Z10" s="321">
        <v>9.0</v>
      </c>
      <c r="AA10" s="322">
        <v>9.0</v>
      </c>
      <c r="AB10" s="321"/>
    </row>
    <row r="11" ht="12.75" customHeight="1">
      <c r="A11" s="321"/>
      <c r="B11" s="321"/>
      <c r="C11" s="321"/>
      <c r="D11" s="321"/>
      <c r="E11" s="341" t="str">
        <f>INPUT!M5</f>
        <v/>
      </c>
      <c r="F11" s="321"/>
      <c r="G11" s="321"/>
      <c r="H11" s="336">
        <v>100001.0</v>
      </c>
      <c r="I11" s="337">
        <v>9999999.0</v>
      </c>
      <c r="J11" s="338" t="str">
        <f>IF(D7="Permanent",3,2)</f>
        <v>#N/A</v>
      </c>
      <c r="K11" s="338" t="str">
        <f>IF(D7="Permanent",4,3)</f>
        <v>#N/A</v>
      </c>
      <c r="L11" s="338" t="str">
        <f>IF(D7="Permanent",2.5,2)</f>
        <v>#N/A</v>
      </c>
      <c r="M11" s="338" t="str">
        <f>IF(D7="Permanent",3,2.5)</f>
        <v>#N/A</v>
      </c>
      <c r="N11" s="338">
        <v>1.0</v>
      </c>
      <c r="O11" s="339" t="str">
        <f>IF(D7="Permanent",3,3)</f>
        <v>#N/A</v>
      </c>
      <c r="P11" s="321"/>
      <c r="Q11" s="325">
        <v>2.0</v>
      </c>
      <c r="R11" s="325" t="s">
        <v>212</v>
      </c>
      <c r="S11" s="325" t="s">
        <v>228</v>
      </c>
      <c r="T11" s="325" t="str">
        <f t="shared" si="1"/>
        <v>2-T-S</v>
      </c>
      <c r="U11" s="326">
        <v>0.28</v>
      </c>
      <c r="V11" s="321"/>
      <c r="W11" s="321"/>
      <c r="X11" s="321"/>
      <c r="Y11" s="321"/>
      <c r="Z11" s="321">
        <v>10.0</v>
      </c>
      <c r="AA11" s="322">
        <v>10.0</v>
      </c>
      <c r="AB11" s="321"/>
    </row>
    <row r="12" ht="14.25" customHeight="1">
      <c r="A12" s="321"/>
      <c r="B12" s="319" t="s">
        <v>120</v>
      </c>
      <c r="C12" s="321"/>
      <c r="D12" s="322" t="s">
        <v>229</v>
      </c>
      <c r="E12" s="342" t="str">
        <f>IF(AND(I5="Yes",E11&lt;400000),"Below Income","")</f>
        <v>#N/A</v>
      </c>
      <c r="F12" s="321"/>
      <c r="G12" s="321"/>
      <c r="H12" s="336">
        <v>200000.0</v>
      </c>
      <c r="I12" s="337">
        <v>1000000.0</v>
      </c>
      <c r="J12" s="338" t="str">
        <f>IF(D7="Permanent",3,2)</f>
        <v>#N/A</v>
      </c>
      <c r="K12" s="338" t="str">
        <f>IF(D7="Permanent",4,3)</f>
        <v>#N/A</v>
      </c>
      <c r="L12" s="338" t="str">
        <f>IF(D7="Permanent",2.5,2)</f>
        <v>#N/A</v>
      </c>
      <c r="M12" s="338" t="str">
        <f>IF(D7="Permanent",3,2.5)</f>
        <v>#N/A</v>
      </c>
      <c r="N12" s="338">
        <v>1.0</v>
      </c>
      <c r="O12" s="339" t="str">
        <f>IF(D7="Permanent",3,3)</f>
        <v>#N/A</v>
      </c>
      <c r="P12" s="321"/>
      <c r="Q12" s="325">
        <v>4.0</v>
      </c>
      <c r="R12" s="325" t="s">
        <v>212</v>
      </c>
      <c r="S12" s="325" t="s">
        <v>228</v>
      </c>
      <c r="T12" s="325" t="str">
        <f t="shared" si="1"/>
        <v>4-T-S</v>
      </c>
      <c r="U12" s="326">
        <v>0.1866</v>
      </c>
      <c r="V12" s="321"/>
      <c r="W12" s="321"/>
      <c r="X12" s="321"/>
      <c r="Y12" s="321"/>
      <c r="Z12" s="321">
        <v>11.0</v>
      </c>
      <c r="AA12" s="322">
        <v>11.0</v>
      </c>
      <c r="AB12" s="321"/>
    </row>
    <row r="13" ht="12.75" customHeight="1">
      <c r="A13" s="321"/>
      <c r="B13" s="343">
        <f>MAX('DBR Sheet'!$K$34:$K$65)</f>
        <v>0</v>
      </c>
      <c r="C13" s="328" t="str">
        <f>LOOKUP($B$13,$K$2:$L$4,$M$2:$M$4)</f>
        <v>NTI</v>
      </c>
      <c r="D13" s="322" t="s">
        <v>230</v>
      </c>
      <c r="E13" s="344" t="str">
        <f>IF(AND(D30="EB",E11&lt;=29999),"Below Income","")</f>
        <v>#N/A</v>
      </c>
      <c r="H13" s="321"/>
      <c r="I13" s="321"/>
      <c r="J13" s="321"/>
      <c r="K13" s="321"/>
      <c r="L13" s="321"/>
      <c r="M13" s="321"/>
      <c r="N13" s="321"/>
      <c r="O13" s="321"/>
      <c r="P13" s="321"/>
      <c r="Q13" s="325">
        <v>5.0</v>
      </c>
      <c r="R13" s="325" t="s">
        <v>212</v>
      </c>
      <c r="S13" s="325" t="s">
        <v>228</v>
      </c>
      <c r="T13" s="325" t="str">
        <f t="shared" si="1"/>
        <v>5-T-S</v>
      </c>
      <c r="U13" s="326">
        <v>0.2779</v>
      </c>
      <c r="V13" s="321"/>
      <c r="W13" s="321"/>
      <c r="X13" s="321"/>
      <c r="Y13" s="321"/>
      <c r="Z13" s="321">
        <v>12.0</v>
      </c>
      <c r="AA13" s="322">
        <v>12.0</v>
      </c>
      <c r="AB13" s="321"/>
    </row>
    <row r="14" ht="13.5" customHeight="1">
      <c r="A14" s="321"/>
      <c r="B14" s="321"/>
      <c r="C14" s="321"/>
      <c r="D14" s="322" t="s">
        <v>231</v>
      </c>
      <c r="E14" s="344" t="str">
        <f>IF(AND(B8=1,C9="Salaried",E11&lt;=39999),"Below Income",IF(AND(B8=2,C9="Salaried",E11&lt;=39999),"Below Income",IF(AND(B8=3,C9="Salaried",E11&lt;=69999),"Below Income",IF(AND(B8=4,C9="Salaried",E11&lt;=69999),"Below Income",IF(AND(C9="SEB",C13="NTI",E11&lt;=59999),"Below Income",IF(AND(C9="SEB",C13="HBC",E11&lt;=59999),"Below Income",""))))))</f>
        <v>#N/A</v>
      </c>
      <c r="F14" s="321"/>
      <c r="G14" s="321"/>
      <c r="H14" s="321"/>
      <c r="I14" s="321"/>
      <c r="J14" s="321"/>
      <c r="K14" s="321"/>
      <c r="L14" s="321"/>
      <c r="M14" s="321"/>
      <c r="N14" s="321"/>
      <c r="O14" s="321"/>
      <c r="P14" s="321"/>
      <c r="Q14" s="325">
        <v>9.0</v>
      </c>
      <c r="R14" s="325" t="s">
        <v>212</v>
      </c>
      <c r="S14" s="325" t="s">
        <v>228</v>
      </c>
      <c r="T14" s="325" t="str">
        <f t="shared" si="1"/>
        <v>9-T-S</v>
      </c>
      <c r="U14" s="326">
        <v>0.1866</v>
      </c>
      <c r="V14" s="321"/>
      <c r="W14" s="321"/>
      <c r="X14" s="321"/>
      <c r="Y14" s="321"/>
      <c r="Z14" s="321">
        <v>13.0</v>
      </c>
      <c r="AA14" s="322" t="s">
        <v>232</v>
      </c>
      <c r="AB14" s="321"/>
    </row>
    <row r="15" ht="14.25" customHeight="1">
      <c r="A15" s="321"/>
      <c r="B15" s="321"/>
      <c r="C15" s="321"/>
      <c r="D15" s="321"/>
      <c r="E15" s="328" t="str">
        <f>IF(I5="Yes",E12,IF(D30="EB",E13,E14))</f>
        <v>#N/A</v>
      </c>
      <c r="F15" s="321"/>
      <c r="G15" s="321"/>
      <c r="H15" s="321"/>
      <c r="I15" s="321"/>
      <c r="J15" s="321"/>
      <c r="K15" s="321"/>
      <c r="L15" s="321"/>
      <c r="M15" s="321"/>
      <c r="N15" s="321"/>
      <c r="O15" s="321"/>
      <c r="P15" s="321"/>
      <c r="Q15" s="325">
        <v>17.0</v>
      </c>
      <c r="R15" s="325" t="s">
        <v>212</v>
      </c>
      <c r="S15" s="325" t="s">
        <v>228</v>
      </c>
      <c r="T15" s="325" t="str">
        <f t="shared" si="1"/>
        <v>17-T-S</v>
      </c>
      <c r="U15" s="326">
        <v>0.26</v>
      </c>
      <c r="V15" s="321"/>
      <c r="W15" s="321"/>
      <c r="X15" s="321"/>
      <c r="Y15" s="321"/>
      <c r="Z15" s="321"/>
      <c r="AA15" s="321"/>
      <c r="AB15" s="321"/>
    </row>
    <row r="16" ht="12.75" customHeight="1">
      <c r="A16" s="321"/>
      <c r="B16" s="319" t="s">
        <v>233</v>
      </c>
      <c r="C16" s="321"/>
      <c r="D16" s="321"/>
      <c r="E16" s="321"/>
      <c r="I16" s="323" t="s">
        <v>208</v>
      </c>
      <c r="J16" s="345" t="s">
        <v>12</v>
      </c>
      <c r="K16" s="346"/>
      <c r="L16" s="321"/>
      <c r="M16" s="321"/>
      <c r="N16" s="321"/>
      <c r="O16" s="321"/>
      <c r="P16" s="321"/>
      <c r="Q16" s="325">
        <v>21.0</v>
      </c>
      <c r="R16" s="325" t="s">
        <v>212</v>
      </c>
      <c r="S16" s="325" t="s">
        <v>228</v>
      </c>
      <c r="T16" s="325" t="str">
        <f t="shared" si="1"/>
        <v>21-T-S</v>
      </c>
      <c r="U16" s="326">
        <v>0.27</v>
      </c>
      <c r="V16" s="321"/>
      <c r="W16" s="321"/>
      <c r="X16" s="321"/>
      <c r="Y16" s="321"/>
      <c r="Z16" s="321"/>
      <c r="AA16" s="321"/>
      <c r="AB16" s="321"/>
    </row>
    <row r="17" ht="12.75" customHeight="1">
      <c r="A17" s="321"/>
      <c r="B17" s="327" t="s">
        <v>234</v>
      </c>
      <c r="C17" s="347" t="str">
        <f>IF(D17="Salaried",A_Score!$G$4,A_Score!$N$4)</f>
        <v>#N/A</v>
      </c>
      <c r="D17" s="328" t="str">
        <f>IF(B9="Self Employed","Self Employed","Salaried")</f>
        <v>#N/A</v>
      </c>
      <c r="E17" s="321"/>
      <c r="I17" s="327" t="s">
        <v>214</v>
      </c>
      <c r="J17" s="345" t="s">
        <v>12</v>
      </c>
      <c r="K17" s="321"/>
      <c r="L17" s="321"/>
      <c r="M17" s="321"/>
      <c r="N17" s="321"/>
      <c r="O17" s="321"/>
      <c r="P17" s="321"/>
      <c r="Q17" s="325">
        <v>25.0</v>
      </c>
      <c r="R17" s="325" t="s">
        <v>212</v>
      </c>
      <c r="S17" s="325" t="s">
        <v>228</v>
      </c>
      <c r="T17" s="325" t="str">
        <f t="shared" si="1"/>
        <v>25-T-S</v>
      </c>
      <c r="U17" s="326">
        <v>0.27</v>
      </c>
      <c r="V17" s="321"/>
      <c r="W17" s="321"/>
      <c r="X17" s="321"/>
      <c r="Y17" s="321"/>
      <c r="Z17" s="321"/>
      <c r="AA17" s="321"/>
      <c r="AB17" s="321"/>
    </row>
    <row r="18" ht="12.75" customHeight="1">
      <c r="A18" s="321"/>
      <c r="B18" s="327" t="s">
        <v>235</v>
      </c>
      <c r="C18" s="347">
        <v>75.0</v>
      </c>
      <c r="D18" s="328" t="str">
        <f>B10</f>
        <v>STM</v>
      </c>
      <c r="E18" s="321"/>
      <c r="I18" s="327" t="s">
        <v>217</v>
      </c>
      <c r="J18" s="345" t="s">
        <v>12</v>
      </c>
      <c r="K18" s="321"/>
      <c r="L18" s="321"/>
      <c r="M18" s="321"/>
      <c r="N18" s="321"/>
      <c r="O18" s="321"/>
      <c r="P18" s="321"/>
      <c r="Q18" s="325">
        <v>29.0</v>
      </c>
      <c r="R18" s="325" t="s">
        <v>212</v>
      </c>
      <c r="S18" s="325" t="s">
        <v>228</v>
      </c>
      <c r="T18" s="325" t="str">
        <f t="shared" si="1"/>
        <v>29-T-S</v>
      </c>
      <c r="U18" s="326">
        <v>0.1906</v>
      </c>
      <c r="V18" s="321"/>
      <c r="W18" s="321"/>
      <c r="X18" s="321"/>
      <c r="Y18" s="321"/>
      <c r="Z18" s="321"/>
      <c r="AA18" s="321"/>
      <c r="AB18" s="321"/>
    </row>
    <row r="19" ht="12.75" customHeight="1">
      <c r="A19" s="321"/>
      <c r="B19" s="327" t="s">
        <v>117</v>
      </c>
      <c r="C19" s="347" t="str">
        <f>IF(D17="Salaried",LOOKUP(D19,A_Score!$B$28:$C$33,A_Score!$G$28:$G$33),LOOKUP(D19,A_Score!$I$28:$J$33,A_Score!$N$28:$N$33))</f>
        <v>#N/A</v>
      </c>
      <c r="D19" s="348" t="str">
        <f>INPUT!C9</f>
        <v/>
      </c>
      <c r="E19" s="321"/>
      <c r="F19" s="321"/>
      <c r="G19" s="321"/>
      <c r="H19" s="321"/>
      <c r="I19" s="327" t="s">
        <v>220</v>
      </c>
      <c r="J19" s="345" t="s">
        <v>12</v>
      </c>
      <c r="K19" s="321"/>
      <c r="L19" s="321"/>
      <c r="M19" s="321"/>
      <c r="N19" s="321"/>
      <c r="O19" s="321"/>
      <c r="P19" s="321"/>
      <c r="Q19" s="325">
        <v>30.0</v>
      </c>
      <c r="R19" s="325" t="s">
        <v>212</v>
      </c>
      <c r="S19" s="325" t="s">
        <v>228</v>
      </c>
      <c r="T19" s="325" t="str">
        <f t="shared" si="1"/>
        <v>30-T-S</v>
      </c>
      <c r="U19" s="326">
        <v>0.24</v>
      </c>
      <c r="V19" s="321"/>
      <c r="W19" s="321"/>
      <c r="X19" s="321"/>
      <c r="Y19" s="321"/>
      <c r="Z19" s="321"/>
      <c r="AA19" s="321"/>
      <c r="AB19" s="321"/>
    </row>
    <row r="20" ht="12.75" customHeight="1">
      <c r="A20" s="321"/>
      <c r="B20" s="327" t="s">
        <v>227</v>
      </c>
      <c r="C20" s="347" t="str">
        <f>IF(D17="Salaried",LOOKUP(D20,A_Score!$B$14:$C$18,A_Score!$G$14:$G$18),LOOKUP(D20,A_Score!$I$15:$J$19,A_Score!$N$15:$N$19))</f>
        <v>#N/A</v>
      </c>
      <c r="D20" s="341" t="str">
        <f>INPUT!M5</f>
        <v/>
      </c>
      <c r="E20" s="321"/>
      <c r="I20" s="327" t="s">
        <v>11</v>
      </c>
      <c r="J20" s="345" t="s">
        <v>236</v>
      </c>
      <c r="K20" s="321"/>
      <c r="L20" s="321"/>
      <c r="M20" s="321"/>
      <c r="N20" s="321"/>
      <c r="O20" s="321"/>
      <c r="P20" s="321"/>
      <c r="Q20" s="325">
        <v>31.0</v>
      </c>
      <c r="R20" s="325" t="s">
        <v>212</v>
      </c>
      <c r="S20" s="325" t="s">
        <v>228</v>
      </c>
      <c r="T20" s="325" t="str">
        <f t="shared" si="1"/>
        <v>31-T-S</v>
      </c>
      <c r="U20" s="326">
        <v>0.24</v>
      </c>
      <c r="V20" s="321"/>
      <c r="W20" s="321"/>
      <c r="X20" s="321"/>
      <c r="Y20" s="321"/>
      <c r="Z20" s="321"/>
      <c r="AA20" s="321"/>
      <c r="AB20" s="321"/>
    </row>
    <row r="21" ht="12.75" customHeight="1">
      <c r="A21" s="321"/>
      <c r="B21" s="327" t="s">
        <v>237</v>
      </c>
      <c r="C21" s="347" t="str">
        <f>IF(D17="Salaried",LOOKUP(D21,A_Score!$B$22:$C$25,A_Score!$G$22:$G$25),LOOKUP(D21,A_Score!$I$22:$J$25,A_Score!$N$22:$N$25))</f>
        <v>#N/A</v>
      </c>
      <c r="D21" s="349" t="str">
        <f>'DBR Sheet'!B28</f>
        <v>#DIV/0!</v>
      </c>
      <c r="E21" s="321"/>
      <c r="I21" s="327" t="s">
        <v>238</v>
      </c>
      <c r="J21" s="321" t="s">
        <v>230</v>
      </c>
      <c r="K21" s="321"/>
      <c r="L21" s="321"/>
      <c r="M21" s="321"/>
      <c r="N21" s="321"/>
      <c r="O21" s="321"/>
      <c r="P21" s="321"/>
      <c r="Q21" s="325">
        <v>33.0</v>
      </c>
      <c r="R21" s="325" t="s">
        <v>212</v>
      </c>
      <c r="S21" s="325" t="s">
        <v>228</v>
      </c>
      <c r="T21" s="325" t="str">
        <f t="shared" si="1"/>
        <v>33-T-S</v>
      </c>
      <c r="U21" s="326">
        <v>0.24</v>
      </c>
      <c r="V21" s="321"/>
      <c r="W21" s="321"/>
      <c r="X21" s="321"/>
      <c r="Y21" s="321"/>
      <c r="Z21" s="321"/>
      <c r="AA21" s="321"/>
      <c r="AB21" s="321"/>
    </row>
    <row r="22" ht="12.75" customHeight="1">
      <c r="A22" s="321"/>
      <c r="B22" s="327" t="s">
        <v>120</v>
      </c>
      <c r="C22" s="347" t="str">
        <f>IF(D17="Salaried",VLOOKUP(D22,A_Score!$D$11:$G$12,4,0),VLOOKUP(D22,A_Score!K11:N12,4,0))</f>
        <v>#N/A</v>
      </c>
      <c r="D22" s="328" t="str">
        <f>IF(C13="HBC","ESB","NTB")</f>
        <v>NTB</v>
      </c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325">
        <v>35.0</v>
      </c>
      <c r="R22" s="325" t="s">
        <v>212</v>
      </c>
      <c r="S22" s="325" t="s">
        <v>228</v>
      </c>
      <c r="T22" s="325" t="str">
        <f t="shared" si="1"/>
        <v>35-T-S</v>
      </c>
      <c r="U22" s="326">
        <v>0.19</v>
      </c>
      <c r="V22" s="321"/>
      <c r="W22" s="321"/>
      <c r="X22" s="321"/>
      <c r="Y22" s="321"/>
      <c r="Z22" s="321"/>
      <c r="AA22" s="321"/>
      <c r="AB22" s="321"/>
    </row>
    <row r="23" ht="12.75" customHeight="1">
      <c r="A23" s="321"/>
      <c r="B23" s="327" t="s">
        <v>79</v>
      </c>
      <c r="C23" s="347" t="str">
        <f>IF(AND(F7&lt;5,D17="Salaried"),329,IF(AND(F7&lt;5,D17="Self Employed"),259,""))</f>
        <v>#N/A</v>
      </c>
      <c r="D23" s="328" t="str">
        <f>F8</f>
        <v>#N/A</v>
      </c>
      <c r="E23" s="321"/>
      <c r="F23" s="321"/>
      <c r="G23" s="321"/>
      <c r="H23" s="321"/>
      <c r="I23" s="321"/>
      <c r="J23" s="350"/>
      <c r="K23" s="321"/>
      <c r="L23" s="350">
        <f>'DBR Sheet'!F6</f>
        <v>0</v>
      </c>
      <c r="M23" s="321" t="s">
        <v>239</v>
      </c>
      <c r="N23" s="321"/>
      <c r="O23" s="321"/>
      <c r="P23" s="321"/>
      <c r="Q23" s="325">
        <v>37.0</v>
      </c>
      <c r="R23" s="325" t="s">
        <v>212</v>
      </c>
      <c r="S23" s="325" t="s">
        <v>228</v>
      </c>
      <c r="T23" s="325" t="str">
        <f t="shared" si="1"/>
        <v>37-T-S</v>
      </c>
      <c r="U23" s="326">
        <v>0.37</v>
      </c>
      <c r="V23" s="321"/>
      <c r="W23" s="321"/>
      <c r="X23" s="321"/>
      <c r="Y23" s="321"/>
      <c r="Z23" s="321"/>
      <c r="AA23" s="321"/>
      <c r="AB23" s="321"/>
    </row>
    <row r="24" ht="12.75" customHeight="1">
      <c r="A24" s="321"/>
      <c r="B24" s="321"/>
      <c r="C24" s="351" t="str">
        <f>MIN(SUM(C17:C22),C23)</f>
        <v>#N/A</v>
      </c>
      <c r="D24" s="321"/>
      <c r="E24" s="321"/>
      <c r="F24" s="321"/>
      <c r="G24" s="321"/>
      <c r="H24" s="321"/>
      <c r="I24" s="323" t="s">
        <v>240</v>
      </c>
      <c r="J24" s="350" t="str">
        <f>E11*I7</f>
        <v>#N/A</v>
      </c>
      <c r="K24" s="321"/>
      <c r="L24" s="350">
        <f>O24*0.45</f>
        <v>0</v>
      </c>
      <c r="M24" s="321" t="s">
        <v>241</v>
      </c>
      <c r="N24" s="321"/>
      <c r="O24" s="350" t="str">
        <f>INPUT!M10</f>
        <v/>
      </c>
      <c r="P24" s="321"/>
      <c r="Q24" s="325">
        <v>57.0</v>
      </c>
      <c r="R24" s="325" t="s">
        <v>212</v>
      </c>
      <c r="S24" s="325" t="s">
        <v>228</v>
      </c>
      <c r="T24" s="325" t="str">
        <f t="shared" si="1"/>
        <v>57-T-S</v>
      </c>
      <c r="U24" s="326">
        <v>0.37</v>
      </c>
      <c r="V24" s="321"/>
      <c r="W24" s="321"/>
      <c r="X24" s="321"/>
      <c r="Y24" s="321"/>
      <c r="Z24" s="321"/>
      <c r="AA24" s="321"/>
      <c r="AB24" s="321"/>
    </row>
    <row r="25" ht="12.75" customHeight="1">
      <c r="A25" s="321"/>
      <c r="B25" s="321"/>
      <c r="C25" s="321"/>
      <c r="D25" s="321"/>
      <c r="E25" s="321"/>
      <c r="I25" s="323" t="s">
        <v>242</v>
      </c>
      <c r="J25" s="352">
        <f>L26</f>
        <v>0</v>
      </c>
      <c r="K25" s="321"/>
      <c r="L25" s="350">
        <f>L24-L23</f>
        <v>0</v>
      </c>
      <c r="M25" s="321"/>
      <c r="N25" s="321"/>
      <c r="O25" s="321"/>
      <c r="P25" s="321"/>
      <c r="Q25" s="325">
        <v>61.0</v>
      </c>
      <c r="R25" s="325" t="s">
        <v>212</v>
      </c>
      <c r="S25" s="325" t="s">
        <v>228</v>
      </c>
      <c r="T25" s="325" t="str">
        <f t="shared" si="1"/>
        <v>61-T-S</v>
      </c>
      <c r="U25" s="326">
        <v>0.1866</v>
      </c>
      <c r="V25" s="321"/>
      <c r="W25" s="321"/>
      <c r="X25" s="321"/>
      <c r="Y25" s="321"/>
      <c r="Z25" s="321"/>
      <c r="AA25" s="321"/>
      <c r="AB25" s="321"/>
    </row>
    <row r="26" ht="12.75" customHeight="1">
      <c r="A26" s="321"/>
      <c r="B26" s="318"/>
      <c r="C26" s="320" t="s">
        <v>230</v>
      </c>
      <c r="D26" s="321"/>
      <c r="E26" s="321"/>
      <c r="I26" s="323" t="s">
        <v>243</v>
      </c>
      <c r="J26" s="352" t="str">
        <f>'DBR Sheet'!F13</f>
        <v>#N/A</v>
      </c>
      <c r="K26" s="350"/>
      <c r="L26" s="350">
        <f>L25*100/5</f>
        <v>0</v>
      </c>
      <c r="M26" s="321"/>
      <c r="N26" s="321"/>
      <c r="O26" s="321"/>
      <c r="P26" s="321"/>
      <c r="Q26" s="325">
        <v>62.0</v>
      </c>
      <c r="R26" s="325" t="s">
        <v>212</v>
      </c>
      <c r="S26" s="325" t="s">
        <v>228</v>
      </c>
      <c r="T26" s="325" t="str">
        <f t="shared" si="1"/>
        <v>62-T-S</v>
      </c>
      <c r="U26" s="326">
        <v>0.1906</v>
      </c>
      <c r="V26" s="321"/>
      <c r="W26" s="321"/>
      <c r="X26" s="321"/>
      <c r="Y26" s="321"/>
      <c r="Z26" s="321"/>
      <c r="AA26" s="321"/>
      <c r="AB26" s="321"/>
    </row>
    <row r="27" ht="12.75" customHeight="1">
      <c r="A27" s="321"/>
      <c r="B27" s="321">
        <v>1.0</v>
      </c>
      <c r="C27" s="324" t="s">
        <v>211</v>
      </c>
      <c r="D27" s="321"/>
      <c r="E27" s="321"/>
      <c r="I27" s="353" t="s">
        <v>244</v>
      </c>
      <c r="J27" s="350" t="str">
        <f>IF(I5="Yes",7000000*0.95,3000000*0.95)</f>
        <v>#N/A</v>
      </c>
      <c r="K27" s="350"/>
      <c r="L27" s="354"/>
      <c r="M27" s="321"/>
      <c r="N27" s="321"/>
      <c r="O27" s="321"/>
      <c r="P27" s="321"/>
      <c r="Q27" s="325">
        <v>16.0</v>
      </c>
      <c r="R27" s="325" t="s">
        <v>212</v>
      </c>
      <c r="S27" s="325" t="s">
        <v>228</v>
      </c>
      <c r="T27" s="325" t="str">
        <f t="shared" si="1"/>
        <v>16-T-S</v>
      </c>
      <c r="U27" s="326">
        <v>0.26</v>
      </c>
      <c r="V27" s="321"/>
      <c r="W27" s="321"/>
      <c r="X27" s="321"/>
      <c r="Y27" s="321"/>
      <c r="Z27" s="321"/>
      <c r="AA27" s="321"/>
      <c r="AB27" s="321"/>
    </row>
    <row r="28" ht="12.75" customHeight="1">
      <c r="A28" s="321"/>
      <c r="B28" s="321">
        <f>B27+1</f>
        <v>2</v>
      </c>
      <c r="C28" s="324" t="s">
        <v>80</v>
      </c>
      <c r="D28" s="321"/>
      <c r="E28" s="321"/>
      <c r="I28" s="156" t="s">
        <v>123</v>
      </c>
      <c r="J28" s="352" t="str">
        <f>IF(MIN(J24:J27)&lt;0,0,MIN(J24:J27))</f>
        <v>#N/A</v>
      </c>
      <c r="K28" s="355"/>
      <c r="L28" s="355"/>
      <c r="M28" s="321"/>
      <c r="N28" s="321"/>
      <c r="O28" s="321"/>
      <c r="P28" s="321"/>
      <c r="Q28" s="325">
        <v>8.0</v>
      </c>
      <c r="R28" s="325" t="s">
        <v>223</v>
      </c>
      <c r="S28" s="325" t="s">
        <v>228</v>
      </c>
      <c r="T28" s="325" t="str">
        <f t="shared" si="1"/>
        <v>8-E-S</v>
      </c>
      <c r="U28" s="326">
        <v>0.05</v>
      </c>
      <c r="V28" s="321"/>
      <c r="W28" s="321"/>
      <c r="X28" s="321"/>
      <c r="Y28" s="321"/>
      <c r="Z28" s="321"/>
      <c r="AA28" s="321"/>
      <c r="AB28" s="321"/>
    </row>
    <row r="29" ht="12.75" customHeight="1">
      <c r="A29" s="321"/>
      <c r="B29" s="321"/>
      <c r="C29" s="328" t="str">
        <f t="array" ref="C29">XLOOKUP(INPUT!K5, C27:C28, B27:B28, "")</f>
        <v/>
      </c>
      <c r="D29" s="321"/>
      <c r="E29" s="321"/>
      <c r="I29" s="321"/>
      <c r="J29" s="321"/>
      <c r="K29" s="321"/>
      <c r="L29" s="355"/>
      <c r="M29" s="321"/>
      <c r="N29" s="321"/>
      <c r="O29" s="321"/>
      <c r="P29" s="321"/>
      <c r="Q29" s="325">
        <v>34.0</v>
      </c>
      <c r="R29" s="325" t="s">
        <v>223</v>
      </c>
      <c r="S29" s="325" t="s">
        <v>228</v>
      </c>
      <c r="T29" s="325" t="str">
        <f t="shared" si="1"/>
        <v>34-E-S</v>
      </c>
      <c r="U29" s="326">
        <v>0.2779</v>
      </c>
      <c r="V29" s="321"/>
      <c r="W29" s="321"/>
      <c r="X29" s="321"/>
      <c r="Y29" s="321"/>
      <c r="Z29" s="321"/>
      <c r="AA29" s="321"/>
      <c r="AB29" s="321"/>
    </row>
    <row r="30" ht="12.75" customHeight="1">
      <c r="A30" s="321"/>
      <c r="B30" s="321"/>
      <c r="C30" s="328" t="str">
        <f>VLOOKUP(C29,B27:C28,2,0)</f>
        <v>#N/A</v>
      </c>
      <c r="D30" s="322" t="str">
        <f>IF(C30="Yes","EB","")</f>
        <v>#N/A</v>
      </c>
      <c r="E30" s="321"/>
      <c r="F30" s="321"/>
      <c r="G30" s="321"/>
      <c r="H30" s="321"/>
      <c r="I30" s="321"/>
      <c r="J30" s="352"/>
      <c r="K30" s="321"/>
      <c r="L30" s="354"/>
      <c r="M30" s="321"/>
      <c r="N30" s="321"/>
      <c r="O30" s="321"/>
      <c r="P30" s="321"/>
      <c r="Q30" s="325">
        <v>38.0</v>
      </c>
      <c r="R30" s="325" t="s">
        <v>223</v>
      </c>
      <c r="S30" s="325" t="s">
        <v>228</v>
      </c>
      <c r="T30" s="325" t="str">
        <f t="shared" si="1"/>
        <v>38-E-S</v>
      </c>
      <c r="U30" s="326">
        <v>0.2779</v>
      </c>
      <c r="V30" s="321"/>
      <c r="W30" s="321"/>
      <c r="X30" s="321"/>
      <c r="Y30" s="321"/>
      <c r="Z30" s="321"/>
      <c r="AA30" s="321"/>
      <c r="AB30" s="321"/>
    </row>
    <row r="31" ht="12.75" customHeight="1">
      <c r="A31" s="321"/>
      <c r="B31" s="321"/>
      <c r="C31" s="321"/>
      <c r="D31" s="321"/>
      <c r="E31" s="321"/>
      <c r="F31" s="321"/>
      <c r="G31" s="321"/>
      <c r="H31" s="321"/>
      <c r="I31" s="321"/>
      <c r="J31" s="321"/>
      <c r="K31" s="321"/>
      <c r="L31" s="321"/>
      <c r="M31" s="321"/>
      <c r="N31" s="321"/>
      <c r="O31" s="321"/>
      <c r="P31" s="321"/>
      <c r="Q31" s="325">
        <v>54.0</v>
      </c>
      <c r="R31" s="325" t="s">
        <v>223</v>
      </c>
      <c r="S31" s="325" t="s">
        <v>228</v>
      </c>
      <c r="T31" s="325" t="str">
        <f t="shared" si="1"/>
        <v>54-E-S</v>
      </c>
      <c r="U31" s="326">
        <v>0.2779</v>
      </c>
      <c r="V31" s="321"/>
      <c r="W31" s="321"/>
      <c r="X31" s="321"/>
      <c r="Y31" s="321"/>
      <c r="Z31" s="321"/>
      <c r="AA31" s="321"/>
      <c r="AB31" s="321"/>
    </row>
    <row r="32" ht="12.75" customHeight="1">
      <c r="A32" s="321"/>
      <c r="B32" s="321"/>
      <c r="C32" s="321"/>
      <c r="D32" s="321"/>
      <c r="E32" s="321"/>
      <c r="F32" s="321"/>
      <c r="G32" s="321"/>
      <c r="H32" s="321"/>
      <c r="I32" s="321"/>
      <c r="J32" s="350"/>
      <c r="K32" s="321"/>
      <c r="L32" s="321"/>
      <c r="M32" s="321"/>
      <c r="N32" s="321"/>
      <c r="O32" s="321"/>
      <c r="P32" s="321"/>
      <c r="Q32" s="325">
        <v>1.0</v>
      </c>
      <c r="R32" s="325" t="s">
        <v>223</v>
      </c>
      <c r="S32" s="325" t="s">
        <v>213</v>
      </c>
      <c r="T32" s="325" t="str">
        <f t="shared" si="1"/>
        <v>1-E-U</v>
      </c>
      <c r="U32" s="326">
        <v>0.28</v>
      </c>
      <c r="V32" s="321"/>
      <c r="W32" s="321"/>
      <c r="X32" s="321"/>
      <c r="Y32" s="321"/>
      <c r="Z32" s="321"/>
      <c r="AA32" s="321"/>
      <c r="AB32" s="321"/>
    </row>
    <row r="33" ht="12.75" customHeight="1">
      <c r="A33" s="321"/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5">
        <v>3.0</v>
      </c>
      <c r="R33" s="325" t="s">
        <v>212</v>
      </c>
      <c r="S33" s="325" t="s">
        <v>228</v>
      </c>
      <c r="T33" s="325" t="str">
        <f t="shared" si="1"/>
        <v>3-T-S</v>
      </c>
      <c r="U33" s="326">
        <v>0.28</v>
      </c>
      <c r="V33" s="321"/>
      <c r="W33" s="321"/>
      <c r="X33" s="321"/>
      <c r="Y33" s="321"/>
      <c r="Z33" s="321"/>
      <c r="AA33" s="321"/>
      <c r="AB33" s="321"/>
    </row>
    <row r="34" ht="12.75" customHeight="1">
      <c r="A34" s="321"/>
      <c r="B34" s="321"/>
      <c r="C34" s="321"/>
      <c r="D34" s="321"/>
      <c r="E34" s="321"/>
      <c r="F34" s="321"/>
      <c r="G34" s="321"/>
      <c r="H34" s="321"/>
      <c r="I34" s="321"/>
      <c r="J34" s="321"/>
      <c r="K34" s="321"/>
      <c r="L34" s="321"/>
      <c r="M34" s="321"/>
      <c r="N34" s="321"/>
      <c r="O34" s="321"/>
      <c r="P34" s="321"/>
      <c r="Q34" s="325">
        <v>5.0</v>
      </c>
      <c r="R34" s="325" t="s">
        <v>223</v>
      </c>
      <c r="S34" s="325" t="s">
        <v>213</v>
      </c>
      <c r="T34" s="325" t="str">
        <f t="shared" si="1"/>
        <v>5-E-U</v>
      </c>
      <c r="U34" s="326">
        <v>0.2779</v>
      </c>
      <c r="V34" s="321"/>
      <c r="W34" s="321"/>
      <c r="X34" s="321"/>
      <c r="Y34" s="321"/>
      <c r="Z34" s="321"/>
      <c r="AA34" s="321"/>
      <c r="AB34" s="321"/>
    </row>
    <row r="35" ht="12.75" customHeight="1">
      <c r="A35" s="321"/>
      <c r="B35" s="321"/>
      <c r="C35" s="321"/>
      <c r="D35" s="321"/>
      <c r="E35" s="321"/>
      <c r="F35" s="321"/>
      <c r="G35" s="321"/>
      <c r="H35" s="321"/>
      <c r="I35" s="321"/>
      <c r="J35" s="321"/>
      <c r="K35" s="321"/>
      <c r="L35" s="321"/>
      <c r="M35" s="321"/>
      <c r="N35" s="321"/>
      <c r="O35" s="321"/>
      <c r="P35" s="321"/>
      <c r="Q35" s="325">
        <v>6.0</v>
      </c>
      <c r="R35" s="325" t="s">
        <v>212</v>
      </c>
      <c r="S35" s="325" t="s">
        <v>228</v>
      </c>
      <c r="T35" s="325" t="str">
        <f t="shared" si="1"/>
        <v>6-T-S</v>
      </c>
      <c r="U35" s="326">
        <v>0.1866</v>
      </c>
      <c r="V35" s="321"/>
      <c r="W35" s="321"/>
      <c r="X35" s="321"/>
      <c r="Y35" s="321"/>
      <c r="Z35" s="321"/>
      <c r="AA35" s="321"/>
      <c r="AB35" s="321"/>
    </row>
    <row r="36" ht="12.75" customHeight="1">
      <c r="A36" s="321"/>
      <c r="B36" s="321"/>
      <c r="C36" s="321"/>
      <c r="D36" s="321"/>
      <c r="E36" s="321"/>
      <c r="F36" s="321"/>
      <c r="G36" s="321"/>
      <c r="H36" s="321"/>
      <c r="I36" s="321"/>
      <c r="J36" s="321"/>
      <c r="K36" s="321"/>
      <c r="L36" s="321"/>
      <c r="M36" s="321"/>
      <c r="N36" s="321"/>
      <c r="O36" s="321"/>
      <c r="P36" s="321"/>
      <c r="Q36" s="325">
        <v>7.0</v>
      </c>
      <c r="R36" s="325" t="s">
        <v>223</v>
      </c>
      <c r="S36" s="325" t="s">
        <v>213</v>
      </c>
      <c r="T36" s="325" t="str">
        <f t="shared" si="1"/>
        <v>7-E-U</v>
      </c>
      <c r="U36" s="326">
        <v>0.05</v>
      </c>
      <c r="V36" s="321"/>
      <c r="W36" s="321"/>
      <c r="X36" s="321"/>
      <c r="Y36" s="321"/>
      <c r="Z36" s="321"/>
      <c r="AA36" s="321"/>
      <c r="AB36" s="321"/>
    </row>
    <row r="37" ht="12.75" customHeight="1">
      <c r="A37" s="321"/>
      <c r="B37" s="321"/>
      <c r="C37" s="321"/>
      <c r="D37" s="321"/>
      <c r="E37" s="321"/>
      <c r="F37" s="321"/>
      <c r="G37" s="321"/>
      <c r="H37" s="321"/>
      <c r="I37" s="321"/>
      <c r="J37" s="321"/>
      <c r="K37" s="321"/>
      <c r="L37" s="321"/>
      <c r="M37" s="321"/>
      <c r="N37" s="321"/>
      <c r="O37" s="321"/>
      <c r="P37" s="321"/>
      <c r="Q37" s="325">
        <v>10.0</v>
      </c>
      <c r="R37" s="325" t="s">
        <v>212</v>
      </c>
      <c r="S37" s="325" t="s">
        <v>228</v>
      </c>
      <c r="T37" s="325" t="str">
        <f t="shared" si="1"/>
        <v>10-T-S</v>
      </c>
      <c r="U37" s="326">
        <v>0.24</v>
      </c>
      <c r="V37" s="321"/>
      <c r="W37" s="321"/>
      <c r="X37" s="321"/>
      <c r="Y37" s="321"/>
      <c r="Z37" s="321"/>
      <c r="AA37" s="321"/>
      <c r="AB37" s="321"/>
    </row>
    <row r="38" ht="12.75" customHeight="1">
      <c r="A38" s="321"/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5">
        <v>11.0</v>
      </c>
      <c r="R38" s="325" t="s">
        <v>212</v>
      </c>
      <c r="S38" s="325" t="s">
        <v>228</v>
      </c>
      <c r="T38" s="325" t="str">
        <f t="shared" si="1"/>
        <v>11-T-S</v>
      </c>
      <c r="U38" s="326">
        <v>0.24</v>
      </c>
      <c r="V38" s="321"/>
      <c r="W38" s="321"/>
      <c r="X38" s="321"/>
      <c r="Y38" s="321"/>
      <c r="Z38" s="321"/>
      <c r="AA38" s="321"/>
      <c r="AB38" s="321"/>
    </row>
    <row r="39" ht="12.75" customHeight="1">
      <c r="A39" s="321"/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5">
        <v>12.0</v>
      </c>
      <c r="R39" s="325" t="s">
        <v>212</v>
      </c>
      <c r="S39" s="325" t="s">
        <v>228</v>
      </c>
      <c r="T39" s="325" t="str">
        <f t="shared" si="1"/>
        <v>12-T-S</v>
      </c>
      <c r="U39" s="326">
        <v>0.24</v>
      </c>
      <c r="V39" s="321"/>
      <c r="W39" s="321"/>
      <c r="X39" s="321"/>
      <c r="Y39" s="321"/>
      <c r="Z39" s="321"/>
      <c r="AA39" s="321"/>
      <c r="AB39" s="321"/>
    </row>
    <row r="40" ht="12.75" customHeight="1">
      <c r="A40" s="321"/>
      <c r="B40" s="321"/>
      <c r="C40" s="321"/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5">
        <v>13.0</v>
      </c>
      <c r="R40" s="325" t="s">
        <v>212</v>
      </c>
      <c r="S40" s="325" t="s">
        <v>228</v>
      </c>
      <c r="T40" s="325" t="str">
        <f t="shared" si="1"/>
        <v>13-T-S</v>
      </c>
      <c r="U40" s="326">
        <v>0.24</v>
      </c>
      <c r="V40" s="321"/>
      <c r="W40" s="321"/>
      <c r="X40" s="321"/>
      <c r="Y40" s="321"/>
      <c r="Z40" s="321"/>
      <c r="AA40" s="321"/>
      <c r="AB40" s="321"/>
    </row>
    <row r="41" ht="12.75" customHeight="1">
      <c r="A41" s="321"/>
      <c r="B41" s="321"/>
      <c r="C41" s="321"/>
      <c r="D41" s="321"/>
      <c r="E41" s="321"/>
      <c r="F41" s="321"/>
      <c r="G41" s="321"/>
      <c r="H41" s="321"/>
      <c r="I41" s="321"/>
      <c r="J41" s="321"/>
      <c r="K41" s="321"/>
      <c r="L41" s="321"/>
      <c r="M41" s="321"/>
      <c r="N41" s="321"/>
      <c r="O41" s="321"/>
      <c r="P41" s="321"/>
      <c r="Q41" s="325">
        <v>14.0</v>
      </c>
      <c r="R41" s="325" t="s">
        <v>212</v>
      </c>
      <c r="S41" s="325" t="s">
        <v>228</v>
      </c>
      <c r="T41" s="325" t="str">
        <f t="shared" si="1"/>
        <v>14-T-S</v>
      </c>
      <c r="U41" s="326">
        <v>0.24</v>
      </c>
      <c r="V41" s="321"/>
      <c r="W41" s="321"/>
      <c r="X41" s="321"/>
      <c r="Y41" s="321"/>
      <c r="Z41" s="321"/>
      <c r="AA41" s="321"/>
      <c r="AB41" s="321"/>
    </row>
    <row r="42" ht="12.75" customHeight="1">
      <c r="A42" s="321"/>
      <c r="B42" s="321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5">
        <v>15.0</v>
      </c>
      <c r="R42" s="325" t="s">
        <v>212</v>
      </c>
      <c r="S42" s="325" t="s">
        <v>228</v>
      </c>
      <c r="T42" s="325" t="str">
        <f t="shared" si="1"/>
        <v>15-T-S</v>
      </c>
      <c r="U42" s="326">
        <v>0.26</v>
      </c>
      <c r="V42" s="321"/>
      <c r="W42" s="321"/>
      <c r="X42" s="321"/>
      <c r="Y42" s="321"/>
      <c r="Z42" s="321"/>
      <c r="AA42" s="321"/>
      <c r="AB42" s="321"/>
    </row>
    <row r="43" ht="12.75" customHeight="1">
      <c r="A43" s="321"/>
      <c r="B43" s="321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5">
        <v>18.0</v>
      </c>
      <c r="R43" s="325" t="s">
        <v>212</v>
      </c>
      <c r="S43" s="325" t="s">
        <v>228</v>
      </c>
      <c r="T43" s="325" t="str">
        <f t="shared" si="1"/>
        <v>18-T-S</v>
      </c>
      <c r="U43" s="326">
        <v>0.24</v>
      </c>
      <c r="V43" s="321"/>
      <c r="W43" s="321"/>
      <c r="X43" s="321"/>
      <c r="Y43" s="321"/>
      <c r="Z43" s="321"/>
      <c r="AA43" s="321"/>
      <c r="AB43" s="321"/>
    </row>
    <row r="44" ht="12.75" customHeight="1">
      <c r="A44" s="321"/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5">
        <v>19.0</v>
      </c>
      <c r="R44" s="325" t="s">
        <v>212</v>
      </c>
      <c r="S44" s="325" t="s">
        <v>228</v>
      </c>
      <c r="T44" s="325" t="str">
        <f t="shared" si="1"/>
        <v>19-T-S</v>
      </c>
      <c r="U44" s="326">
        <v>0.24</v>
      </c>
      <c r="V44" s="321"/>
      <c r="W44" s="321"/>
      <c r="X44" s="321"/>
      <c r="Y44" s="321"/>
      <c r="Z44" s="321"/>
      <c r="AA44" s="321"/>
      <c r="AB44" s="321"/>
    </row>
    <row r="45" ht="12.75" customHeight="1">
      <c r="A45" s="321"/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5">
        <v>20.0</v>
      </c>
      <c r="R45" s="325" t="s">
        <v>212</v>
      </c>
      <c r="S45" s="325" t="s">
        <v>228</v>
      </c>
      <c r="T45" s="325" t="str">
        <f t="shared" si="1"/>
        <v>20-T-S</v>
      </c>
      <c r="U45" s="326">
        <v>0.0</v>
      </c>
      <c r="V45" s="321"/>
      <c r="W45" s="321"/>
      <c r="X45" s="321"/>
      <c r="Y45" s="321"/>
      <c r="Z45" s="321"/>
      <c r="AA45" s="321"/>
      <c r="AB45" s="321"/>
    </row>
    <row r="46" ht="12.75" customHeight="1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5">
        <v>22.0</v>
      </c>
      <c r="R46" s="325" t="s">
        <v>223</v>
      </c>
      <c r="S46" s="325" t="s">
        <v>228</v>
      </c>
      <c r="T46" s="325" t="str">
        <f t="shared" si="1"/>
        <v>22-E-S</v>
      </c>
      <c r="U46" s="326">
        <v>0.0</v>
      </c>
      <c r="V46" s="321"/>
      <c r="W46" s="321"/>
      <c r="X46" s="321"/>
      <c r="Y46" s="321"/>
      <c r="Z46" s="321"/>
      <c r="AA46" s="321"/>
      <c r="AB46" s="321"/>
    </row>
    <row r="47" ht="12.75" customHeight="1">
      <c r="A47" s="321"/>
      <c r="B47" s="321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5">
        <v>23.0</v>
      </c>
      <c r="R47" s="325" t="s">
        <v>212</v>
      </c>
      <c r="S47" s="325" t="s">
        <v>228</v>
      </c>
      <c r="T47" s="325" t="str">
        <f t="shared" si="1"/>
        <v>23-T-S</v>
      </c>
      <c r="U47" s="326">
        <v>0.0</v>
      </c>
      <c r="V47" s="321"/>
      <c r="W47" s="321"/>
      <c r="X47" s="321"/>
      <c r="Y47" s="321"/>
      <c r="Z47" s="321"/>
      <c r="AA47" s="321"/>
      <c r="AB47" s="321"/>
    </row>
    <row r="48" ht="12.75" customHeight="1">
      <c r="A48" s="321"/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5">
        <v>24.0</v>
      </c>
      <c r="R48" s="325" t="s">
        <v>212</v>
      </c>
      <c r="S48" s="325" t="s">
        <v>228</v>
      </c>
      <c r="T48" s="325" t="str">
        <f t="shared" si="1"/>
        <v>24-T-S</v>
      </c>
      <c r="U48" s="326">
        <v>0.27</v>
      </c>
      <c r="V48" s="321"/>
      <c r="W48" s="321"/>
      <c r="X48" s="321"/>
      <c r="Y48" s="321"/>
      <c r="Z48" s="321"/>
      <c r="AA48" s="321"/>
      <c r="AB48" s="321"/>
    </row>
    <row r="49" ht="12.75" customHeight="1">
      <c r="A49" s="321"/>
      <c r="B49" s="321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5">
        <v>26.0</v>
      </c>
      <c r="R49" s="325" t="s">
        <v>212</v>
      </c>
      <c r="S49" s="325" t="s">
        <v>228</v>
      </c>
      <c r="T49" s="325" t="str">
        <f t="shared" si="1"/>
        <v>26-T-S</v>
      </c>
      <c r="U49" s="326">
        <v>0.29</v>
      </c>
      <c r="V49" s="321"/>
      <c r="W49" s="321"/>
      <c r="X49" s="321"/>
      <c r="Y49" s="321"/>
      <c r="Z49" s="321"/>
      <c r="AA49" s="321"/>
      <c r="AB49" s="321"/>
    </row>
    <row r="50" ht="12.75" customHeight="1">
      <c r="A50" s="321"/>
      <c r="B50" s="321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5">
        <v>27.0</v>
      </c>
      <c r="R50" s="325" t="s">
        <v>212</v>
      </c>
      <c r="S50" s="325" t="s">
        <v>228</v>
      </c>
      <c r="T50" s="325" t="str">
        <f t="shared" si="1"/>
        <v>27-T-S</v>
      </c>
      <c r="U50" s="326">
        <v>0.0</v>
      </c>
      <c r="V50" s="321"/>
      <c r="W50" s="321"/>
      <c r="X50" s="321"/>
      <c r="Y50" s="321"/>
      <c r="Z50" s="321"/>
      <c r="AA50" s="321"/>
      <c r="AB50" s="321"/>
    </row>
    <row r="51" ht="12.75" customHeight="1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5">
        <v>28.0</v>
      </c>
      <c r="R51" s="325" t="s">
        <v>212</v>
      </c>
      <c r="S51" s="325" t="s">
        <v>228</v>
      </c>
      <c r="T51" s="325" t="str">
        <f t="shared" si="1"/>
        <v>28-T-S</v>
      </c>
      <c r="U51" s="326">
        <v>0.24</v>
      </c>
      <c r="V51" s="321"/>
      <c r="W51" s="321"/>
      <c r="X51" s="321"/>
      <c r="Y51" s="321"/>
      <c r="Z51" s="321"/>
      <c r="AA51" s="321"/>
      <c r="AB51" s="321"/>
    </row>
    <row r="52" ht="12.75" customHeight="1">
      <c r="A52" s="321"/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5">
        <v>32.0</v>
      </c>
      <c r="R52" s="325" t="s">
        <v>212</v>
      </c>
      <c r="S52" s="325" t="s">
        <v>228</v>
      </c>
      <c r="T52" s="325" t="str">
        <f t="shared" si="1"/>
        <v>32-T-S</v>
      </c>
      <c r="U52" s="326">
        <v>0.0</v>
      </c>
      <c r="V52" s="321"/>
      <c r="W52" s="321"/>
      <c r="X52" s="321"/>
      <c r="Y52" s="321"/>
      <c r="Z52" s="321"/>
      <c r="AA52" s="321"/>
      <c r="AB52" s="321"/>
    </row>
    <row r="53" ht="12.75" customHeight="1">
      <c r="A53" s="321"/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5">
        <v>35.0</v>
      </c>
      <c r="R53" s="325" t="s">
        <v>223</v>
      </c>
      <c r="S53" s="325" t="s">
        <v>228</v>
      </c>
      <c r="T53" s="325" t="str">
        <f t="shared" si="1"/>
        <v>35-E-S</v>
      </c>
      <c r="U53" s="326">
        <v>0.19</v>
      </c>
      <c r="V53" s="321"/>
      <c r="W53" s="321"/>
      <c r="X53" s="321"/>
      <c r="Y53" s="321"/>
      <c r="Z53" s="321"/>
      <c r="AA53" s="321"/>
      <c r="AB53" s="321"/>
    </row>
    <row r="54" ht="12.75" customHeight="1">
      <c r="A54" s="321"/>
      <c r="B54" s="321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5">
        <v>36.0</v>
      </c>
      <c r="R54" s="325" t="s">
        <v>223</v>
      </c>
      <c r="S54" s="325" t="s">
        <v>228</v>
      </c>
      <c r="T54" s="325" t="str">
        <f t="shared" si="1"/>
        <v>36-E-S</v>
      </c>
      <c r="U54" s="326">
        <v>0.0</v>
      </c>
      <c r="V54" s="321"/>
      <c r="W54" s="321"/>
      <c r="X54" s="321"/>
      <c r="Y54" s="321"/>
      <c r="Z54" s="321"/>
      <c r="AA54" s="321"/>
      <c r="AB54" s="321"/>
    </row>
    <row r="55" ht="12.75" customHeight="1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5">
        <v>39.0</v>
      </c>
      <c r="R55" s="325" t="s">
        <v>212</v>
      </c>
      <c r="S55" s="325" t="s">
        <v>228</v>
      </c>
      <c r="T55" s="325" t="str">
        <f t="shared" si="1"/>
        <v>39-T-S</v>
      </c>
      <c r="U55" s="326">
        <v>0.24</v>
      </c>
      <c r="V55" s="321"/>
      <c r="W55" s="321"/>
      <c r="X55" s="321"/>
      <c r="Y55" s="321"/>
      <c r="Z55" s="321"/>
      <c r="AA55" s="321"/>
      <c r="AB55" s="321"/>
    </row>
    <row r="56" ht="12.75" customHeight="1">
      <c r="A56" s="321"/>
      <c r="B56" s="321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5">
        <v>40.0</v>
      </c>
      <c r="R56" s="325" t="s">
        <v>212</v>
      </c>
      <c r="S56" s="325" t="s">
        <v>228</v>
      </c>
      <c r="T56" s="325" t="str">
        <f t="shared" si="1"/>
        <v>40-T-S</v>
      </c>
      <c r="U56" s="326">
        <v>0.24</v>
      </c>
      <c r="V56" s="321"/>
      <c r="W56" s="321"/>
      <c r="X56" s="321"/>
      <c r="Y56" s="321"/>
      <c r="Z56" s="321"/>
      <c r="AA56" s="321"/>
      <c r="AB56" s="321"/>
    </row>
    <row r="57" ht="12.75" customHeight="1">
      <c r="A57" s="321"/>
      <c r="B57" s="321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5">
        <v>41.0</v>
      </c>
      <c r="R57" s="325" t="s">
        <v>212</v>
      </c>
      <c r="S57" s="325" t="s">
        <v>228</v>
      </c>
      <c r="T57" s="325" t="str">
        <f t="shared" si="1"/>
        <v>41-T-S</v>
      </c>
      <c r="U57" s="326">
        <v>0.24</v>
      </c>
      <c r="V57" s="321"/>
      <c r="W57" s="321"/>
      <c r="X57" s="321"/>
      <c r="Y57" s="321"/>
      <c r="Z57" s="321"/>
      <c r="AA57" s="321"/>
      <c r="AB57" s="321"/>
    </row>
    <row r="58" ht="12.75" customHeight="1">
      <c r="A58" s="321"/>
      <c r="B58" s="321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5">
        <v>42.0</v>
      </c>
      <c r="R58" s="325" t="s">
        <v>212</v>
      </c>
      <c r="S58" s="325" t="s">
        <v>228</v>
      </c>
      <c r="T58" s="325" t="str">
        <f t="shared" si="1"/>
        <v>42-T-S</v>
      </c>
      <c r="U58" s="326">
        <v>0.24</v>
      </c>
      <c r="V58" s="321"/>
      <c r="W58" s="321"/>
      <c r="X58" s="321"/>
      <c r="Y58" s="321"/>
      <c r="Z58" s="321"/>
      <c r="AA58" s="321"/>
      <c r="AB58" s="321"/>
    </row>
    <row r="59" ht="12.75" customHeight="1">
      <c r="A59" s="321"/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5">
        <v>43.0</v>
      </c>
      <c r="R59" s="325" t="s">
        <v>212</v>
      </c>
      <c r="S59" s="325" t="s">
        <v>228</v>
      </c>
      <c r="T59" s="325" t="str">
        <f t="shared" si="1"/>
        <v>43-T-S</v>
      </c>
      <c r="U59" s="326">
        <v>0.24</v>
      </c>
      <c r="V59" s="321"/>
      <c r="W59" s="321"/>
      <c r="X59" s="321"/>
      <c r="Y59" s="321"/>
      <c r="Z59" s="321"/>
      <c r="AA59" s="321"/>
      <c r="AB59" s="321"/>
    </row>
    <row r="60" ht="12.75" customHeight="1">
      <c r="A60" s="321"/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5">
        <v>44.0</v>
      </c>
      <c r="R60" s="325" t="s">
        <v>212</v>
      </c>
      <c r="S60" s="325" t="s">
        <v>228</v>
      </c>
      <c r="T60" s="325" t="str">
        <f t="shared" si="1"/>
        <v>44-T-S</v>
      </c>
      <c r="U60" s="326">
        <v>0.24</v>
      </c>
      <c r="V60" s="321"/>
      <c r="W60" s="321"/>
      <c r="X60" s="321"/>
      <c r="Y60" s="321"/>
      <c r="Z60" s="321"/>
      <c r="AA60" s="321"/>
      <c r="AB60" s="321"/>
    </row>
    <row r="61" ht="12.75" customHeight="1">
      <c r="A61" s="321"/>
      <c r="B61" s="321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5">
        <v>45.0</v>
      </c>
      <c r="R61" s="325" t="s">
        <v>223</v>
      </c>
      <c r="S61" s="325" t="s">
        <v>213</v>
      </c>
      <c r="T61" s="325" t="str">
        <f t="shared" si="1"/>
        <v>45-E-U</v>
      </c>
      <c r="U61" s="326">
        <v>0.05</v>
      </c>
      <c r="V61" s="321"/>
      <c r="W61" s="321"/>
      <c r="X61" s="321"/>
      <c r="Y61" s="321"/>
      <c r="Z61" s="321"/>
      <c r="AA61" s="321"/>
      <c r="AB61" s="321"/>
    </row>
    <row r="62" ht="12.75" customHeight="1">
      <c r="A62" s="321"/>
      <c r="B62" s="321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5">
        <v>46.0</v>
      </c>
      <c r="R62" s="325" t="s">
        <v>223</v>
      </c>
      <c r="S62" s="325" t="s">
        <v>213</v>
      </c>
      <c r="T62" s="325" t="str">
        <f t="shared" si="1"/>
        <v>46-E-U</v>
      </c>
      <c r="U62" s="326">
        <v>0.05</v>
      </c>
      <c r="V62" s="321"/>
      <c r="W62" s="321"/>
      <c r="X62" s="321"/>
      <c r="Y62" s="321"/>
      <c r="Z62" s="321"/>
      <c r="AA62" s="321"/>
      <c r="AB62" s="321"/>
    </row>
    <row r="63" ht="12.75" customHeight="1">
      <c r="A63" s="321"/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5">
        <v>47.0</v>
      </c>
      <c r="R63" s="325" t="s">
        <v>223</v>
      </c>
      <c r="S63" s="325" t="s">
        <v>213</v>
      </c>
      <c r="T63" s="325" t="str">
        <f t="shared" si="1"/>
        <v>47-E-U</v>
      </c>
      <c r="U63" s="326">
        <v>0.05</v>
      </c>
      <c r="V63" s="321"/>
      <c r="W63" s="321"/>
      <c r="X63" s="321"/>
      <c r="Y63" s="321"/>
      <c r="Z63" s="321"/>
      <c r="AA63" s="321"/>
      <c r="AB63" s="321"/>
    </row>
    <row r="64" ht="12.75" customHeight="1">
      <c r="A64" s="321"/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5">
        <v>48.0</v>
      </c>
      <c r="R64" s="325" t="s">
        <v>212</v>
      </c>
      <c r="S64" s="325" t="s">
        <v>228</v>
      </c>
      <c r="T64" s="325" t="str">
        <f t="shared" si="1"/>
        <v>48-T-S</v>
      </c>
      <c r="U64" s="326">
        <v>0.24</v>
      </c>
      <c r="V64" s="321"/>
      <c r="W64" s="321"/>
      <c r="X64" s="321"/>
      <c r="Y64" s="321"/>
      <c r="Z64" s="321"/>
      <c r="AA64" s="321"/>
      <c r="AB64" s="321"/>
    </row>
    <row r="65" ht="12.75" customHeight="1">
      <c r="A65" s="321"/>
      <c r="B65" s="321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5">
        <v>49.0</v>
      </c>
      <c r="R65" s="325" t="s">
        <v>212</v>
      </c>
      <c r="S65" s="325" t="s">
        <v>228</v>
      </c>
      <c r="T65" s="325" t="str">
        <f t="shared" si="1"/>
        <v>49-T-S</v>
      </c>
      <c r="U65" s="326">
        <v>0.24</v>
      </c>
      <c r="V65" s="321"/>
      <c r="W65" s="321"/>
      <c r="X65" s="321"/>
      <c r="Y65" s="321"/>
      <c r="Z65" s="321"/>
      <c r="AA65" s="321"/>
      <c r="AB65" s="321"/>
    </row>
    <row r="66" ht="12.75" customHeight="1">
      <c r="A66" s="321"/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5">
        <v>50.0</v>
      </c>
      <c r="R66" s="325" t="s">
        <v>212</v>
      </c>
      <c r="S66" s="325" t="s">
        <v>228</v>
      </c>
      <c r="T66" s="325" t="str">
        <f t="shared" si="1"/>
        <v>50-T-S</v>
      </c>
      <c r="U66" s="326">
        <v>0.24</v>
      </c>
      <c r="V66" s="321"/>
      <c r="W66" s="321"/>
      <c r="X66" s="321"/>
      <c r="Y66" s="321"/>
      <c r="Z66" s="321"/>
      <c r="AA66" s="321"/>
      <c r="AB66" s="321"/>
    </row>
    <row r="67" ht="12.75" customHeight="1">
      <c r="A67" s="321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5">
        <v>51.0</v>
      </c>
      <c r="R67" s="325" t="s">
        <v>212</v>
      </c>
      <c r="S67" s="325" t="s">
        <v>228</v>
      </c>
      <c r="T67" s="325" t="str">
        <f t="shared" si="1"/>
        <v>51-T-S</v>
      </c>
      <c r="U67" s="326">
        <v>0.24</v>
      </c>
      <c r="V67" s="321"/>
      <c r="W67" s="321"/>
      <c r="X67" s="321"/>
      <c r="Y67" s="321"/>
      <c r="Z67" s="321"/>
      <c r="AA67" s="321"/>
      <c r="AB67" s="321"/>
    </row>
    <row r="68" ht="12.75" customHeight="1">
      <c r="A68" s="321"/>
      <c r="B68" s="321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5">
        <v>52.0</v>
      </c>
      <c r="R68" s="325" t="s">
        <v>212</v>
      </c>
      <c r="S68" s="325" t="s">
        <v>228</v>
      </c>
      <c r="T68" s="325" t="str">
        <f t="shared" si="1"/>
        <v>52-T-S</v>
      </c>
      <c r="U68" s="326">
        <v>0.24</v>
      </c>
      <c r="V68" s="321"/>
      <c r="W68" s="321"/>
      <c r="X68" s="321"/>
      <c r="Y68" s="321"/>
      <c r="Z68" s="321"/>
      <c r="AA68" s="321"/>
      <c r="AB68" s="321"/>
    </row>
    <row r="69" ht="12.75" customHeight="1">
      <c r="A69" s="321"/>
      <c r="B69" s="321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5">
        <v>53.0</v>
      </c>
      <c r="R69" s="325" t="s">
        <v>212</v>
      </c>
      <c r="S69" s="325" t="s">
        <v>228</v>
      </c>
      <c r="T69" s="325" t="str">
        <f t="shared" si="1"/>
        <v>53-T-S</v>
      </c>
      <c r="U69" s="326">
        <v>0.24</v>
      </c>
      <c r="V69" s="321"/>
      <c r="W69" s="321"/>
      <c r="X69" s="321"/>
      <c r="Y69" s="321"/>
      <c r="Z69" s="321"/>
      <c r="AA69" s="321"/>
      <c r="AB69" s="321"/>
    </row>
    <row r="70" ht="12.75" customHeight="1">
      <c r="A70" s="321"/>
      <c r="B70" s="321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5">
        <v>55.0</v>
      </c>
      <c r="R70" s="325" t="s">
        <v>212</v>
      </c>
      <c r="S70" s="325" t="s">
        <v>228</v>
      </c>
      <c r="T70" s="325" t="str">
        <f t="shared" si="1"/>
        <v>55-T-S</v>
      </c>
      <c r="U70" s="326">
        <v>0.24</v>
      </c>
      <c r="V70" s="321"/>
      <c r="W70" s="321"/>
      <c r="X70" s="321"/>
      <c r="Y70" s="321"/>
      <c r="Z70" s="321"/>
      <c r="AA70" s="321"/>
      <c r="AB70" s="321"/>
    </row>
    <row r="71" ht="12.75" customHeight="1">
      <c r="A71" s="321"/>
      <c r="B71" s="321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5">
        <v>56.0</v>
      </c>
      <c r="R71" s="325" t="s">
        <v>212</v>
      </c>
      <c r="S71" s="325" t="s">
        <v>228</v>
      </c>
      <c r="T71" s="325" t="str">
        <f t="shared" si="1"/>
        <v>56-T-S</v>
      </c>
      <c r="U71" s="326">
        <v>0.24</v>
      </c>
      <c r="V71" s="321"/>
      <c r="W71" s="321"/>
      <c r="X71" s="321"/>
      <c r="Y71" s="321"/>
      <c r="Z71" s="321"/>
      <c r="AA71" s="321"/>
      <c r="AB71" s="321"/>
    </row>
    <row r="72" ht="12.75" customHeight="1">
      <c r="A72" s="321"/>
      <c r="B72" s="321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5">
        <v>57.0</v>
      </c>
      <c r="R72" s="325" t="s">
        <v>212</v>
      </c>
      <c r="S72" s="325" t="s">
        <v>213</v>
      </c>
      <c r="T72" s="325" t="str">
        <f t="shared" si="1"/>
        <v>57-T-U</v>
      </c>
      <c r="U72" s="326">
        <v>0.37</v>
      </c>
      <c r="V72" s="321"/>
      <c r="W72" s="321"/>
      <c r="X72" s="321"/>
      <c r="Y72" s="321"/>
      <c r="Z72" s="321"/>
      <c r="AA72" s="321"/>
      <c r="AB72" s="321"/>
    </row>
    <row r="73" ht="12.75" customHeight="1">
      <c r="A73" s="321"/>
      <c r="B73" s="321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5">
        <v>58.0</v>
      </c>
      <c r="R73" s="325" t="s">
        <v>212</v>
      </c>
      <c r="S73" s="325" t="s">
        <v>228</v>
      </c>
      <c r="T73" s="325" t="str">
        <f t="shared" si="1"/>
        <v>58-T-S</v>
      </c>
      <c r="U73" s="326">
        <v>0.24</v>
      </c>
      <c r="V73" s="321"/>
      <c r="W73" s="321"/>
      <c r="X73" s="321"/>
      <c r="Y73" s="321"/>
      <c r="Z73" s="321"/>
      <c r="AA73" s="321"/>
      <c r="AB73" s="321"/>
    </row>
    <row r="74" ht="12.75" customHeight="1">
      <c r="A74" s="321"/>
      <c r="B74" s="321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5">
        <v>60.0</v>
      </c>
      <c r="R74" s="325" t="s">
        <v>212</v>
      </c>
      <c r="S74" s="325" t="s">
        <v>228</v>
      </c>
      <c r="T74" s="325" t="str">
        <f t="shared" si="1"/>
        <v>60-T-S</v>
      </c>
      <c r="U74" s="326">
        <v>0.0</v>
      </c>
      <c r="V74" s="321"/>
      <c r="W74" s="321"/>
      <c r="X74" s="321"/>
      <c r="Y74" s="321"/>
      <c r="Z74" s="321"/>
      <c r="AA74" s="321"/>
      <c r="AB74" s="321"/>
    </row>
    <row r="75" ht="12.75" customHeight="1">
      <c r="A75" s="321"/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5">
        <v>63.0</v>
      </c>
      <c r="R75" s="325" t="s">
        <v>212</v>
      </c>
      <c r="S75" s="325" t="s">
        <v>228</v>
      </c>
      <c r="T75" s="325" t="str">
        <f t="shared" si="1"/>
        <v>63-T-S</v>
      </c>
      <c r="U75" s="326">
        <v>0.28</v>
      </c>
      <c r="V75" s="321"/>
      <c r="W75" s="321"/>
      <c r="X75" s="321"/>
      <c r="Y75" s="321"/>
      <c r="Z75" s="321"/>
      <c r="AA75" s="321"/>
      <c r="AB75" s="321"/>
    </row>
    <row r="76" ht="12.75" customHeight="1">
      <c r="A76" s="321"/>
      <c r="B76" s="321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5">
        <v>64.0</v>
      </c>
      <c r="R76" s="325" t="s">
        <v>212</v>
      </c>
      <c r="S76" s="325" t="s">
        <v>228</v>
      </c>
      <c r="T76" s="325" t="str">
        <f t="shared" si="1"/>
        <v>64-T-S</v>
      </c>
      <c r="U76" s="326">
        <v>0.28</v>
      </c>
      <c r="V76" s="321"/>
      <c r="W76" s="321"/>
      <c r="X76" s="321"/>
      <c r="Y76" s="321"/>
      <c r="Z76" s="321"/>
      <c r="AA76" s="321"/>
      <c r="AB76" s="321"/>
    </row>
    <row r="77" ht="12.75" customHeight="1">
      <c r="A77" s="321"/>
      <c r="B77" s="321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5">
        <v>65.0</v>
      </c>
      <c r="R77" s="325" t="s">
        <v>212</v>
      </c>
      <c r="S77" s="325" t="s">
        <v>228</v>
      </c>
      <c r="T77" s="325" t="str">
        <f t="shared" si="1"/>
        <v>65-T-S</v>
      </c>
      <c r="U77" s="326">
        <v>0.28</v>
      </c>
      <c r="V77" s="321"/>
      <c r="W77" s="321"/>
      <c r="X77" s="321"/>
      <c r="Y77" s="321"/>
      <c r="Z77" s="321"/>
      <c r="AA77" s="321"/>
      <c r="AB77" s="321"/>
    </row>
    <row r="78" ht="12.75" customHeight="1">
      <c r="A78" s="321"/>
      <c r="B78" s="321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</row>
    <row r="79" ht="12.75" customHeight="1">
      <c r="A79" s="321"/>
      <c r="B79" s="321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</row>
    <row r="80" ht="12.75" customHeight="1">
      <c r="A80" s="321"/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</row>
    <row r="81" ht="12.75" customHeight="1">
      <c r="A81" s="321"/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</row>
    <row r="82" ht="12.75" customHeight="1">
      <c r="A82" s="321"/>
      <c r="B82" s="321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</row>
    <row r="83" ht="12.75" customHeight="1">
      <c r="A83" s="321"/>
      <c r="B83" s="321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</row>
    <row r="84" ht="12.75" customHeight="1">
      <c r="A84" s="321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</row>
    <row r="85" ht="12.75" customHeight="1">
      <c r="A85" s="321"/>
      <c r="B85" s="321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</row>
    <row r="86" ht="12.75" customHeight="1">
      <c r="A86" s="321"/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</row>
    <row r="87" ht="12.75" customHeight="1">
      <c r="A87" s="321"/>
      <c r="B87" s="321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</row>
    <row r="88" ht="12.75" customHeight="1">
      <c r="A88" s="321"/>
      <c r="B88" s="321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</row>
    <row r="89" ht="12.75" customHeight="1">
      <c r="A89" s="321"/>
      <c r="B89" s="321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</row>
    <row r="90" ht="12.75" customHeight="1">
      <c r="A90" s="321"/>
      <c r="B90" s="321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</row>
    <row r="91" ht="12.75" customHeight="1">
      <c r="A91" s="321"/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</row>
    <row r="92" ht="12.75" customHeight="1">
      <c r="A92" s="321"/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</row>
    <row r="93" ht="12.75" customHeight="1">
      <c r="A93" s="321"/>
      <c r="B93" s="321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</row>
    <row r="94" ht="12.75" customHeight="1">
      <c r="A94" s="321"/>
      <c r="B94" s="321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</row>
    <row r="95" ht="12.75" customHeight="1">
      <c r="A95" s="321"/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</row>
    <row r="96" ht="12.75" customHeight="1">
      <c r="A96" s="321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</row>
    <row r="97" ht="12.75" customHeight="1">
      <c r="A97" s="321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</row>
    <row r="98" ht="12.75" customHeight="1">
      <c r="A98" s="321"/>
      <c r="B98" s="321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</row>
    <row r="99" ht="12.75" customHeight="1">
      <c r="A99" s="321"/>
      <c r="B99" s="321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</row>
    <row r="100" ht="12.75" customHeight="1">
      <c r="A100" s="321"/>
      <c r="B100" s="321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</row>
    <row r="101" ht="12.75" customHeight="1">
      <c r="A101" s="321"/>
      <c r="B101" s="321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</row>
    <row r="102" ht="12.75" customHeight="1">
      <c r="A102" s="321"/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</row>
    <row r="103" ht="12.75" customHeight="1">
      <c r="A103" s="321"/>
      <c r="B103" s="321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</row>
    <row r="104" ht="12.75" customHeight="1">
      <c r="A104" s="321"/>
      <c r="B104" s="321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</row>
    <row r="105" ht="12.75" customHeight="1">
      <c r="A105" s="321"/>
      <c r="B105" s="321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</row>
    <row r="106" ht="12.75" customHeight="1">
      <c r="A106" s="321"/>
      <c r="B106" s="321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</row>
    <row r="107" ht="12.75" customHeight="1">
      <c r="A107" s="321"/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</row>
    <row r="108" ht="12.75" customHeight="1">
      <c r="A108" s="321"/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</row>
    <row r="109" ht="12.75" customHeight="1">
      <c r="A109" s="321"/>
      <c r="B109" s="321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</row>
    <row r="110" ht="12.75" customHeight="1">
      <c r="A110" s="321"/>
      <c r="B110" s="321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</row>
    <row r="111" ht="12.75" customHeight="1">
      <c r="A111" s="321"/>
      <c r="B111" s="321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</row>
    <row r="112" ht="12.75" customHeight="1">
      <c r="A112" s="321"/>
      <c r="B112" s="321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</row>
    <row r="113" ht="12.75" customHeight="1">
      <c r="A113" s="321"/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</row>
    <row r="114" ht="12.75" customHeight="1">
      <c r="A114" s="321"/>
      <c r="B114" s="321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</row>
    <row r="115" ht="12.75" customHeight="1">
      <c r="A115" s="321"/>
      <c r="B115" s="321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</row>
    <row r="116" ht="12.75" customHeight="1">
      <c r="A116" s="321"/>
      <c r="B116" s="321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</row>
    <row r="117" ht="12.75" customHeight="1">
      <c r="A117" s="321"/>
      <c r="B117" s="321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</row>
    <row r="118" ht="12.75" customHeight="1">
      <c r="A118" s="321"/>
      <c r="B118" s="321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</row>
    <row r="119" ht="12.75" customHeight="1">
      <c r="A119" s="321"/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</row>
    <row r="120" ht="12.75" customHeight="1">
      <c r="A120" s="321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</row>
    <row r="121" ht="12.75" customHeight="1">
      <c r="A121" s="321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</row>
    <row r="122" ht="12.75" customHeight="1">
      <c r="A122" s="321"/>
      <c r="B122" s="321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</row>
    <row r="123" ht="12.75" customHeight="1">
      <c r="A123" s="321"/>
      <c r="B123" s="321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</row>
    <row r="124" ht="12.75" customHeight="1">
      <c r="A124" s="321"/>
      <c r="B124" s="321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</row>
    <row r="125" ht="12.75" customHeight="1">
      <c r="A125" s="321"/>
      <c r="B125" s="321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</row>
    <row r="126" ht="12.75" customHeight="1">
      <c r="A126" s="321"/>
      <c r="B126" s="321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</row>
    <row r="127" ht="12.75" customHeight="1">
      <c r="A127" s="321"/>
      <c r="B127" s="321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</row>
    <row r="128" ht="12.75" customHeight="1">
      <c r="A128" s="321"/>
      <c r="B128" s="321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</row>
    <row r="129" ht="12.75" customHeight="1">
      <c r="A129" s="321"/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</row>
    <row r="130" ht="12.75" customHeight="1">
      <c r="A130" s="321"/>
      <c r="B130" s="321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</row>
    <row r="131" ht="12.75" customHeight="1">
      <c r="A131" s="321"/>
      <c r="B131" s="321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</row>
    <row r="132" ht="12.75" customHeight="1">
      <c r="A132" s="321"/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</row>
    <row r="133" ht="12.75" customHeight="1">
      <c r="A133" s="321"/>
      <c r="B133" s="321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</row>
    <row r="134" ht="12.75" customHeight="1">
      <c r="A134" s="321"/>
      <c r="B134" s="321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</row>
    <row r="135" ht="12.75" customHeight="1">
      <c r="A135" s="321"/>
      <c r="B135" s="321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</row>
    <row r="136" ht="12.75" customHeight="1">
      <c r="A136" s="321"/>
      <c r="B136" s="321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</row>
    <row r="137" ht="12.75" customHeight="1">
      <c r="A137" s="321"/>
      <c r="B137" s="321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</row>
    <row r="138" ht="12.75" customHeight="1">
      <c r="A138" s="321"/>
      <c r="B138" s="321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</row>
    <row r="139" ht="12.75" customHeight="1">
      <c r="A139" s="321"/>
      <c r="B139" s="321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</row>
    <row r="140" ht="12.75" customHeight="1">
      <c r="A140" s="321"/>
      <c r="B140" s="321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</row>
    <row r="141" ht="12.75" customHeight="1">
      <c r="A141" s="321"/>
      <c r="B141" s="321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</row>
    <row r="142" ht="12.75" customHeight="1">
      <c r="A142" s="321"/>
      <c r="B142" s="321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</row>
    <row r="143" ht="12.75" customHeight="1">
      <c r="A143" s="321"/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</row>
    <row r="144" ht="12.75" customHeight="1">
      <c r="A144" s="321"/>
      <c r="B144" s="321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</row>
    <row r="145" ht="12.75" customHeight="1">
      <c r="A145" s="321"/>
      <c r="B145" s="321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</row>
    <row r="146" ht="12.75" customHeight="1">
      <c r="A146" s="321"/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</row>
    <row r="147" ht="12.75" customHeight="1">
      <c r="A147" s="321"/>
      <c r="B147" s="321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</row>
    <row r="148" ht="12.75" customHeight="1">
      <c r="A148" s="321"/>
      <c r="B148" s="321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</row>
    <row r="149" ht="12.75" customHeight="1">
      <c r="A149" s="321"/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</row>
    <row r="150" ht="12.75" customHeight="1">
      <c r="A150" s="321"/>
      <c r="B150" s="321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</row>
    <row r="151" ht="12.75" customHeight="1">
      <c r="A151" s="321"/>
      <c r="B151" s="321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</row>
    <row r="152" ht="12.75" customHeight="1">
      <c r="A152" s="321"/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</row>
    <row r="153" ht="12.75" customHeight="1">
      <c r="A153" s="321"/>
      <c r="B153" s="321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</row>
    <row r="154" ht="12.75" customHeight="1">
      <c r="A154" s="321"/>
      <c r="B154" s="321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</row>
    <row r="155" ht="12.75" customHeight="1">
      <c r="A155" s="321"/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</row>
    <row r="156" ht="12.75" customHeight="1">
      <c r="A156" s="321"/>
      <c r="B156" s="321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</row>
    <row r="157" ht="12.75" customHeight="1">
      <c r="A157" s="321"/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</row>
    <row r="158" ht="12.75" customHeight="1">
      <c r="A158" s="321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</row>
    <row r="159" ht="12.75" customHeight="1">
      <c r="A159" s="321"/>
      <c r="B159" s="321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</row>
    <row r="160" ht="12.75" customHeight="1">
      <c r="A160" s="321"/>
      <c r="B160" s="321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</row>
    <row r="161" ht="12.75" customHeight="1">
      <c r="A161" s="321"/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</row>
    <row r="162" ht="12.75" customHeight="1">
      <c r="A162" s="321"/>
      <c r="B162" s="321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</row>
    <row r="163" ht="12.75" customHeight="1">
      <c r="A163" s="321"/>
      <c r="B163" s="321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</row>
    <row r="164" ht="12.75" customHeight="1">
      <c r="A164" s="321"/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</row>
    <row r="165" ht="12.75" customHeight="1">
      <c r="A165" s="321"/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</row>
    <row r="166" ht="12.75" customHeight="1">
      <c r="A166" s="321"/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</row>
    <row r="167" ht="12.75" customHeight="1">
      <c r="A167" s="321"/>
      <c r="B167" s="321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</row>
    <row r="168" ht="12.75" customHeight="1">
      <c r="A168" s="321"/>
      <c r="B168" s="321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</row>
    <row r="169" ht="12.75" customHeight="1">
      <c r="A169" s="321"/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</row>
    <row r="170" ht="12.75" customHeight="1">
      <c r="A170" s="321"/>
      <c r="B170" s="321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</row>
    <row r="171" ht="12.75" customHeight="1">
      <c r="A171" s="321"/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</row>
    <row r="172" ht="12.75" customHeight="1">
      <c r="A172" s="321"/>
      <c r="B172" s="321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</row>
    <row r="173" ht="12.75" customHeight="1">
      <c r="A173" s="321"/>
      <c r="B173" s="321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</row>
    <row r="174" ht="12.75" customHeight="1">
      <c r="A174" s="321"/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</row>
    <row r="175" ht="12.75" customHeight="1">
      <c r="A175" s="321"/>
      <c r="B175" s="321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</row>
    <row r="176" ht="12.75" customHeight="1">
      <c r="A176" s="321"/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</row>
    <row r="177" ht="12.75" customHeight="1">
      <c r="A177" s="321"/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</row>
    <row r="178" ht="12.75" customHeight="1">
      <c r="A178" s="321"/>
      <c r="B178" s="321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</row>
    <row r="179" ht="12.75" customHeight="1">
      <c r="A179" s="321"/>
      <c r="B179" s="321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</row>
    <row r="180" ht="12.75" customHeight="1">
      <c r="A180" s="321"/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</row>
    <row r="181" ht="12.75" customHeight="1">
      <c r="A181" s="321"/>
      <c r="B181" s="321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</row>
    <row r="182" ht="12.75" customHeight="1">
      <c r="A182" s="321"/>
      <c r="B182" s="321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</row>
    <row r="183" ht="12.75" customHeight="1">
      <c r="A183" s="321"/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</row>
    <row r="184" ht="12.75" customHeight="1">
      <c r="A184" s="321"/>
      <c r="B184" s="321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</row>
    <row r="185" ht="12.75" customHeight="1">
      <c r="A185" s="321"/>
      <c r="B185" s="321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</row>
    <row r="186" ht="12.75" customHeight="1">
      <c r="A186" s="321"/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</row>
    <row r="187" ht="12.75" customHeight="1">
      <c r="A187" s="321"/>
      <c r="B187" s="321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</row>
    <row r="188" ht="12.75" customHeight="1">
      <c r="A188" s="321"/>
      <c r="B188" s="321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</row>
    <row r="189" ht="12.75" customHeight="1">
      <c r="A189" s="321"/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</row>
    <row r="190" ht="12.75" customHeight="1">
      <c r="A190" s="321"/>
      <c r="B190" s="321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</row>
    <row r="191" ht="12.75" customHeight="1">
      <c r="A191" s="321"/>
      <c r="B191" s="321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</row>
    <row r="192" ht="12.75" customHeight="1">
      <c r="A192" s="321"/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</row>
    <row r="193" ht="12.75" customHeight="1">
      <c r="A193" s="321"/>
      <c r="B193" s="321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</row>
    <row r="194" ht="12.75" customHeight="1">
      <c r="A194" s="321"/>
      <c r="B194" s="321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</row>
    <row r="195" ht="12.75" customHeight="1">
      <c r="A195" s="321"/>
      <c r="B195" s="321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</row>
    <row r="196" ht="12.75" customHeight="1">
      <c r="A196" s="321"/>
      <c r="B196" s="321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</row>
    <row r="197" ht="12.75" customHeight="1">
      <c r="A197" s="321"/>
      <c r="B197" s="321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</row>
    <row r="198" ht="12.75" customHeight="1">
      <c r="A198" s="321"/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</row>
    <row r="199" ht="12.75" customHeight="1">
      <c r="A199" s="321"/>
      <c r="B199" s="321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</row>
    <row r="200" ht="12.75" customHeight="1">
      <c r="A200" s="321"/>
      <c r="B200" s="321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</row>
    <row r="201" ht="12.75" customHeight="1">
      <c r="A201" s="321"/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</row>
    <row r="202" ht="12.75" customHeight="1">
      <c r="A202" s="321"/>
      <c r="B202" s="321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</row>
    <row r="203" ht="12.75" customHeight="1">
      <c r="A203" s="321"/>
      <c r="B203" s="321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</row>
    <row r="204" ht="12.75" customHeight="1">
      <c r="A204" s="321"/>
      <c r="B204" s="321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</row>
    <row r="205" ht="12.75" customHeight="1">
      <c r="A205" s="321"/>
      <c r="B205" s="321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</row>
    <row r="206" ht="12.75" customHeight="1">
      <c r="A206" s="321"/>
      <c r="B206" s="321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</row>
    <row r="207" ht="12.75" customHeight="1">
      <c r="A207" s="321"/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</row>
    <row r="208" ht="12.75" customHeight="1">
      <c r="A208" s="321"/>
      <c r="B208" s="321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</row>
    <row r="209" ht="12.75" customHeight="1">
      <c r="A209" s="321"/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</row>
    <row r="210" ht="12.75" customHeight="1">
      <c r="A210" s="321"/>
      <c r="B210" s="321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</row>
    <row r="211" ht="12.75" customHeight="1">
      <c r="A211" s="321"/>
      <c r="B211" s="321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</row>
    <row r="212" ht="12.75" customHeight="1">
      <c r="A212" s="321"/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</row>
    <row r="213" ht="12.75" customHeight="1">
      <c r="A213" s="321"/>
      <c r="B213" s="321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</row>
    <row r="214" ht="12.75" customHeight="1">
      <c r="A214" s="321"/>
      <c r="B214" s="321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</row>
    <row r="215" ht="12.75" customHeight="1">
      <c r="A215" s="321"/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</row>
    <row r="216" ht="12.75" customHeight="1">
      <c r="A216" s="321"/>
      <c r="B216" s="321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</row>
    <row r="217" ht="12.75" customHeight="1">
      <c r="A217" s="321"/>
      <c r="B217" s="321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</row>
    <row r="218" ht="12.75" customHeight="1">
      <c r="A218" s="321"/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</row>
    <row r="219" ht="12.75" customHeight="1">
      <c r="A219" s="321"/>
      <c r="B219" s="321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</row>
    <row r="220" ht="12.75" customHeight="1">
      <c r="A220" s="321"/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</row>
    <row r="221" ht="12.75" customHeight="1">
      <c r="A221" s="321"/>
      <c r="B221" s="321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</row>
    <row r="222" ht="12.75" customHeight="1">
      <c r="A222" s="321"/>
      <c r="B222" s="321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</row>
    <row r="223" ht="12.75" customHeight="1">
      <c r="A223" s="321"/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</row>
    <row r="224" ht="12.75" customHeight="1">
      <c r="A224" s="321"/>
      <c r="B224" s="321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</row>
    <row r="225" ht="12.75" customHeight="1">
      <c r="A225" s="321"/>
      <c r="B225" s="321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</row>
    <row r="226" ht="12.75" customHeight="1">
      <c r="A226" s="321"/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</row>
    <row r="227" ht="12.75" customHeight="1">
      <c r="A227" s="321"/>
      <c r="B227" s="321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</row>
    <row r="228" ht="12.75" customHeight="1">
      <c r="A228" s="321"/>
      <c r="B228" s="321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</row>
    <row r="229" ht="12.75" customHeight="1">
      <c r="A229" s="321"/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</row>
    <row r="230" ht="12.75" customHeight="1">
      <c r="A230" s="321"/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</row>
    <row r="231" ht="12.75" customHeight="1">
      <c r="A231" s="321"/>
      <c r="B231" s="321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</row>
    <row r="232" ht="12.75" customHeight="1">
      <c r="A232" s="321"/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</row>
    <row r="233" ht="12.75" customHeight="1">
      <c r="A233" s="321"/>
      <c r="B233" s="321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</row>
    <row r="234" ht="12.75" customHeight="1">
      <c r="A234" s="321"/>
      <c r="B234" s="321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</row>
    <row r="235" ht="12.75" customHeight="1">
      <c r="A235" s="321"/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</row>
    <row r="236" ht="12.75" customHeight="1">
      <c r="A236" s="321"/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</row>
    <row r="237" ht="12.75" customHeight="1">
      <c r="A237" s="321"/>
      <c r="B237" s="321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</row>
    <row r="238" ht="12.75" customHeight="1">
      <c r="A238" s="321"/>
      <c r="B238" s="321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</row>
    <row r="239" ht="12.75" customHeight="1">
      <c r="A239" s="321"/>
      <c r="B239" s="321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</row>
    <row r="240" ht="12.75" customHeight="1">
      <c r="A240" s="321"/>
      <c r="B240" s="321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</row>
    <row r="241" ht="12.75" customHeight="1">
      <c r="A241" s="321"/>
      <c r="B241" s="321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</row>
    <row r="242" ht="12.75" customHeight="1">
      <c r="A242" s="321"/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</row>
    <row r="243" ht="12.75" customHeight="1">
      <c r="A243" s="321"/>
      <c r="B243" s="321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</row>
    <row r="244" ht="12.75" customHeight="1">
      <c r="A244" s="321"/>
      <c r="B244" s="321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</row>
    <row r="245" ht="12.75" customHeight="1">
      <c r="A245" s="321"/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</row>
    <row r="246" ht="12.75" customHeight="1">
      <c r="A246" s="321"/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</row>
    <row r="247" ht="12.75" customHeight="1">
      <c r="A247" s="321"/>
      <c r="B247" s="321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</row>
    <row r="248" ht="12.75" customHeight="1">
      <c r="A248" s="321"/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</row>
    <row r="249" ht="12.75" customHeight="1">
      <c r="A249" s="321"/>
      <c r="B249" s="321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</row>
    <row r="250" ht="12.75" customHeight="1">
      <c r="A250" s="321"/>
      <c r="B250" s="321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</row>
    <row r="251" ht="12.75" customHeight="1">
      <c r="A251" s="321"/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</row>
    <row r="252" ht="12.75" customHeight="1">
      <c r="A252" s="321"/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</row>
    <row r="253" ht="12.75" customHeight="1">
      <c r="A253" s="321"/>
      <c r="B253" s="321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</row>
    <row r="254" ht="12.75" customHeight="1">
      <c r="A254" s="321"/>
      <c r="B254" s="321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</row>
    <row r="255" ht="12.75" customHeight="1">
      <c r="A255" s="321"/>
      <c r="B255" s="321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</row>
    <row r="256" ht="12.75" customHeight="1">
      <c r="A256" s="321"/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</row>
    <row r="257" ht="12.75" customHeight="1">
      <c r="A257" s="321"/>
      <c r="B257" s="321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</row>
    <row r="258" ht="12.75" customHeight="1">
      <c r="A258" s="321"/>
      <c r="B258" s="321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</row>
    <row r="259" ht="12.75" customHeight="1">
      <c r="A259" s="321"/>
      <c r="B259" s="321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</row>
    <row r="260" ht="12.75" customHeight="1">
      <c r="A260" s="321"/>
      <c r="B260" s="321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</row>
    <row r="261" ht="12.75" customHeight="1">
      <c r="A261" s="321"/>
      <c r="B261" s="321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</row>
    <row r="262" ht="12.75" customHeight="1">
      <c r="A262" s="321"/>
      <c r="B262" s="321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</row>
    <row r="263" ht="12.75" customHeight="1">
      <c r="A263" s="321"/>
      <c r="B263" s="321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</row>
    <row r="264" ht="12.75" customHeight="1">
      <c r="A264" s="321"/>
      <c r="B264" s="321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</row>
    <row r="265" ht="12.75" customHeight="1">
      <c r="A265" s="321"/>
      <c r="B265" s="321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</row>
    <row r="266" ht="12.75" customHeight="1">
      <c r="A266" s="321"/>
      <c r="B266" s="321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</row>
    <row r="267" ht="12.75" customHeight="1">
      <c r="A267" s="321"/>
      <c r="B267" s="321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</row>
    <row r="268" ht="12.75" customHeight="1">
      <c r="A268" s="321"/>
      <c r="B268" s="321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</row>
    <row r="269" ht="12.75" customHeight="1">
      <c r="A269" s="321"/>
      <c r="B269" s="321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</row>
    <row r="270" ht="12.75" customHeight="1">
      <c r="A270" s="321"/>
      <c r="B270" s="321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</row>
    <row r="271" ht="12.75" customHeight="1">
      <c r="A271" s="321"/>
      <c r="B271" s="321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</row>
    <row r="272" ht="12.75" customHeight="1">
      <c r="A272" s="321"/>
      <c r="B272" s="321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</row>
    <row r="273" ht="12.75" customHeight="1">
      <c r="A273" s="321"/>
      <c r="B273" s="321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</row>
    <row r="274" ht="12.75" customHeight="1">
      <c r="A274" s="321"/>
      <c r="B274" s="321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</row>
    <row r="275" ht="12.75" customHeight="1">
      <c r="A275" s="321"/>
      <c r="B275" s="321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</row>
    <row r="276" ht="12.75" customHeight="1">
      <c r="A276" s="321"/>
      <c r="B276" s="321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</row>
    <row r="277" ht="12.75" customHeight="1">
      <c r="A277" s="321"/>
      <c r="B277" s="321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</row>
    <row r="278" ht="12.75" customHeight="1">
      <c r="A278" s="321"/>
      <c r="B278" s="321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</row>
    <row r="279" ht="12.75" customHeight="1">
      <c r="A279" s="321"/>
      <c r="B279" s="321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</row>
    <row r="280" ht="12.75" customHeight="1">
      <c r="A280" s="321"/>
      <c r="B280" s="321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</row>
    <row r="281" ht="12.75" customHeight="1">
      <c r="A281" s="321"/>
      <c r="B281" s="321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</row>
    <row r="282" ht="12.75" customHeight="1">
      <c r="A282" s="321"/>
      <c r="B282" s="321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</row>
    <row r="283" ht="12.75" customHeight="1">
      <c r="A283" s="321"/>
      <c r="B283" s="321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</row>
    <row r="284" ht="12.75" customHeight="1">
      <c r="A284" s="321"/>
      <c r="B284" s="321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</row>
    <row r="285" ht="12.75" customHeight="1">
      <c r="A285" s="321"/>
      <c r="B285" s="321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</row>
    <row r="286" ht="12.75" customHeight="1">
      <c r="A286" s="321"/>
      <c r="B286" s="321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</row>
    <row r="287" ht="12.75" customHeight="1">
      <c r="A287" s="321"/>
      <c r="B287" s="321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</row>
    <row r="288" ht="12.75" customHeight="1">
      <c r="A288" s="321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</row>
    <row r="289" ht="12.75" customHeight="1">
      <c r="A289" s="321"/>
      <c r="B289" s="321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</row>
    <row r="290" ht="12.75" customHeight="1">
      <c r="A290" s="321"/>
      <c r="B290" s="321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</row>
    <row r="291" ht="12.75" customHeight="1">
      <c r="A291" s="321"/>
      <c r="B291" s="321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</row>
    <row r="292" ht="12.75" customHeight="1">
      <c r="A292" s="321"/>
      <c r="B292" s="321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</row>
    <row r="293" ht="12.75" customHeight="1">
      <c r="A293" s="321"/>
      <c r="B293" s="321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</row>
    <row r="294" ht="12.75" customHeight="1">
      <c r="A294" s="321"/>
      <c r="B294" s="321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</row>
    <row r="295" ht="12.75" customHeight="1">
      <c r="A295" s="321"/>
      <c r="B295" s="321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</row>
    <row r="296" ht="12.75" customHeight="1">
      <c r="A296" s="321"/>
      <c r="B296" s="321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</row>
    <row r="297" ht="12.75" customHeight="1">
      <c r="A297" s="321"/>
      <c r="B297" s="321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</row>
    <row r="298" ht="12.75" customHeight="1">
      <c r="A298" s="321"/>
      <c r="B298" s="321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</row>
    <row r="299" ht="12.75" customHeight="1">
      <c r="A299" s="321"/>
      <c r="B299" s="321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</row>
    <row r="300" ht="12.75" customHeight="1">
      <c r="A300" s="321"/>
      <c r="B300" s="321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</row>
    <row r="301" ht="12.75" customHeight="1">
      <c r="A301" s="321"/>
      <c r="B301" s="321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</row>
    <row r="302" ht="12.75" customHeight="1">
      <c r="A302" s="321"/>
      <c r="B302" s="321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</row>
    <row r="303" ht="12.75" customHeight="1">
      <c r="A303" s="321"/>
      <c r="B303" s="321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</row>
    <row r="304" ht="12.75" customHeight="1">
      <c r="A304" s="321"/>
      <c r="B304" s="321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</row>
    <row r="305" ht="12.75" customHeight="1">
      <c r="A305" s="321"/>
      <c r="B305" s="321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</row>
    <row r="306" ht="12.75" customHeight="1">
      <c r="A306" s="321"/>
      <c r="B306" s="321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</row>
    <row r="307" ht="12.75" customHeight="1">
      <c r="A307" s="321"/>
      <c r="B307" s="321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</row>
    <row r="308" ht="12.75" customHeight="1">
      <c r="A308" s="321"/>
      <c r="B308" s="321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</row>
    <row r="309" ht="12.75" customHeight="1">
      <c r="A309" s="321"/>
      <c r="B309" s="321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</row>
    <row r="310" ht="12.75" customHeight="1">
      <c r="A310" s="321"/>
      <c r="B310" s="321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</row>
    <row r="311" ht="12.75" customHeight="1">
      <c r="A311" s="321"/>
      <c r="B311" s="321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</row>
    <row r="312" ht="12.75" customHeight="1">
      <c r="A312" s="321"/>
      <c r="B312" s="321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</row>
    <row r="313" ht="12.75" customHeight="1">
      <c r="A313" s="321"/>
      <c r="B313" s="321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</row>
    <row r="314" ht="12.75" customHeight="1">
      <c r="A314" s="321"/>
      <c r="B314" s="321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</row>
    <row r="315" ht="12.75" customHeight="1">
      <c r="A315" s="321"/>
      <c r="B315" s="321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</row>
    <row r="316" ht="12.75" customHeight="1">
      <c r="A316" s="321"/>
      <c r="B316" s="321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</row>
    <row r="317" ht="12.75" customHeight="1">
      <c r="A317" s="321"/>
      <c r="B317" s="321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</row>
    <row r="318" ht="12.75" customHeight="1">
      <c r="A318" s="321"/>
      <c r="B318" s="321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</row>
    <row r="319" ht="12.75" customHeight="1">
      <c r="A319" s="321"/>
      <c r="B319" s="321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</row>
    <row r="320" ht="12.75" customHeight="1">
      <c r="A320" s="321"/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</row>
    <row r="321" ht="12.75" customHeight="1">
      <c r="A321" s="321"/>
      <c r="B321" s="321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</row>
    <row r="322" ht="12.75" customHeight="1">
      <c r="A322" s="321"/>
      <c r="B322" s="321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</row>
    <row r="323" ht="12.75" customHeight="1">
      <c r="A323" s="321"/>
      <c r="B323" s="321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</row>
    <row r="324" ht="12.75" customHeight="1">
      <c r="A324" s="321"/>
      <c r="B324" s="321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</row>
    <row r="325" ht="12.75" customHeight="1">
      <c r="A325" s="321"/>
      <c r="B325" s="321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</row>
    <row r="326" ht="12.75" customHeight="1">
      <c r="A326" s="321"/>
      <c r="B326" s="321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</row>
    <row r="327" ht="12.75" customHeight="1">
      <c r="A327" s="321"/>
      <c r="B327" s="321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</row>
    <row r="328" ht="12.75" customHeight="1">
      <c r="A328" s="321"/>
      <c r="B328" s="321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</row>
    <row r="329" ht="12.75" customHeight="1">
      <c r="A329" s="321"/>
      <c r="B329" s="321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</row>
    <row r="330" ht="12.75" customHeight="1">
      <c r="A330" s="321"/>
      <c r="B330" s="321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</row>
    <row r="331" ht="12.75" customHeight="1">
      <c r="A331" s="321"/>
      <c r="B331" s="321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</row>
    <row r="332" ht="12.75" customHeight="1">
      <c r="A332" s="321"/>
      <c r="B332" s="321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</row>
    <row r="333" ht="12.75" customHeight="1">
      <c r="A333" s="321"/>
      <c r="B333" s="321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</row>
    <row r="334" ht="12.75" customHeight="1">
      <c r="A334" s="321"/>
      <c r="B334" s="321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</row>
    <row r="335" ht="12.75" customHeight="1">
      <c r="A335" s="321"/>
      <c r="B335" s="321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</row>
    <row r="336" ht="12.75" customHeight="1">
      <c r="A336" s="321"/>
      <c r="B336" s="321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</row>
    <row r="337" ht="12.75" customHeight="1">
      <c r="A337" s="321"/>
      <c r="B337" s="321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</row>
    <row r="338" ht="12.75" customHeight="1">
      <c r="A338" s="321"/>
      <c r="B338" s="321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</row>
    <row r="339" ht="12.75" customHeight="1">
      <c r="A339" s="321"/>
      <c r="B339" s="321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</row>
    <row r="340" ht="12.75" customHeight="1">
      <c r="A340" s="321"/>
      <c r="B340" s="321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</row>
    <row r="341" ht="12.75" customHeight="1">
      <c r="A341" s="321"/>
      <c r="B341" s="321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</row>
    <row r="342" ht="12.75" customHeight="1">
      <c r="A342" s="321"/>
      <c r="B342" s="321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</row>
    <row r="343" ht="12.75" customHeight="1">
      <c r="A343" s="321"/>
      <c r="B343" s="321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</row>
    <row r="344" ht="12.75" customHeight="1">
      <c r="A344" s="321"/>
      <c r="B344" s="321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</row>
    <row r="345" ht="12.75" customHeight="1">
      <c r="A345" s="321"/>
      <c r="B345" s="321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</row>
    <row r="346" ht="12.75" customHeight="1">
      <c r="A346" s="321"/>
      <c r="B346" s="321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</row>
    <row r="347" ht="12.75" customHeight="1">
      <c r="A347" s="321"/>
      <c r="B347" s="321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</row>
    <row r="348" ht="12.75" customHeight="1">
      <c r="A348" s="321"/>
      <c r="B348" s="321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</row>
    <row r="349" ht="12.75" customHeight="1">
      <c r="A349" s="321"/>
      <c r="B349" s="321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</row>
    <row r="350" ht="12.75" customHeight="1">
      <c r="A350" s="321"/>
      <c r="B350" s="321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</row>
    <row r="351" ht="12.75" customHeight="1">
      <c r="A351" s="321"/>
      <c r="B351" s="321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</row>
    <row r="352" ht="12.75" customHeight="1">
      <c r="A352" s="321"/>
      <c r="B352" s="321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</row>
    <row r="353" ht="12.75" customHeight="1">
      <c r="A353" s="321"/>
      <c r="B353" s="321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</row>
    <row r="354" ht="12.75" customHeight="1">
      <c r="A354" s="321"/>
      <c r="B354" s="321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</row>
    <row r="355" ht="12.75" customHeight="1">
      <c r="A355" s="321"/>
      <c r="B355" s="321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</row>
    <row r="356" ht="12.75" customHeight="1">
      <c r="A356" s="321"/>
      <c r="B356" s="321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</row>
    <row r="357" ht="12.75" customHeight="1">
      <c r="A357" s="321"/>
      <c r="B357" s="321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</row>
    <row r="358" ht="12.75" customHeight="1">
      <c r="A358" s="321"/>
      <c r="B358" s="321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</row>
    <row r="359" ht="12.75" customHeight="1">
      <c r="A359" s="321"/>
      <c r="B359" s="321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</row>
    <row r="360" ht="12.75" customHeight="1">
      <c r="A360" s="321"/>
      <c r="B360" s="321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</row>
    <row r="361" ht="12.75" customHeight="1">
      <c r="A361" s="321"/>
      <c r="B361" s="321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</row>
    <row r="362" ht="12.75" customHeight="1">
      <c r="A362" s="321"/>
      <c r="B362" s="321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</row>
    <row r="363" ht="12.75" customHeight="1">
      <c r="A363" s="321"/>
      <c r="B363" s="321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</row>
    <row r="364" ht="12.75" customHeight="1">
      <c r="A364" s="321"/>
      <c r="B364" s="321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</row>
    <row r="365" ht="12.75" customHeight="1">
      <c r="A365" s="321"/>
      <c r="B365" s="321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</row>
    <row r="366" ht="12.75" customHeight="1">
      <c r="A366" s="321"/>
      <c r="B366" s="321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</row>
    <row r="367" ht="12.75" customHeight="1">
      <c r="A367" s="321"/>
      <c r="B367" s="321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</row>
    <row r="368" ht="12.75" customHeight="1">
      <c r="A368" s="321"/>
      <c r="B368" s="321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</row>
    <row r="369" ht="12.75" customHeight="1">
      <c r="A369" s="321"/>
      <c r="B369" s="321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</row>
    <row r="370" ht="12.75" customHeight="1">
      <c r="A370" s="321"/>
      <c r="B370" s="321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</row>
    <row r="371" ht="12.75" customHeight="1">
      <c r="A371" s="321"/>
      <c r="B371" s="321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</row>
    <row r="372" ht="12.75" customHeight="1">
      <c r="A372" s="321"/>
      <c r="B372" s="321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</row>
    <row r="373" ht="12.75" customHeight="1">
      <c r="A373" s="321"/>
      <c r="B373" s="321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</row>
    <row r="374" ht="12.75" customHeight="1">
      <c r="A374" s="321"/>
      <c r="B374" s="321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</row>
    <row r="375" ht="12.75" customHeight="1">
      <c r="A375" s="321"/>
      <c r="B375" s="321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</row>
    <row r="376" ht="12.75" customHeight="1">
      <c r="A376" s="321"/>
      <c r="B376" s="321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</row>
    <row r="377" ht="12.75" customHeight="1">
      <c r="A377" s="321"/>
      <c r="B377" s="321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</row>
    <row r="378" ht="12.75" customHeight="1">
      <c r="A378" s="321"/>
      <c r="B378" s="321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</row>
    <row r="379" ht="12.75" customHeight="1">
      <c r="A379" s="321"/>
      <c r="B379" s="321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</row>
    <row r="380" ht="12.75" customHeight="1">
      <c r="A380" s="321"/>
      <c r="B380" s="321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</row>
    <row r="381" ht="12.75" customHeight="1">
      <c r="A381" s="321"/>
      <c r="B381" s="321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</row>
    <row r="382" ht="12.75" customHeight="1">
      <c r="A382" s="321"/>
      <c r="B382" s="321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</row>
    <row r="383" ht="12.75" customHeight="1">
      <c r="A383" s="321"/>
      <c r="B383" s="321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</row>
    <row r="384" ht="12.75" customHeight="1">
      <c r="A384" s="321"/>
      <c r="B384" s="321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</row>
    <row r="385" ht="12.75" customHeight="1">
      <c r="A385" s="321"/>
      <c r="B385" s="321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</row>
    <row r="386" ht="12.75" customHeight="1">
      <c r="A386" s="321"/>
      <c r="B386" s="321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</row>
    <row r="387" ht="12.75" customHeight="1">
      <c r="A387" s="321"/>
      <c r="B387" s="321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</row>
    <row r="388" ht="12.75" customHeight="1">
      <c r="A388" s="321"/>
      <c r="B388" s="321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</row>
    <row r="389" ht="12.75" customHeight="1">
      <c r="A389" s="321"/>
      <c r="B389" s="321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</row>
    <row r="390" ht="12.75" customHeight="1">
      <c r="A390" s="321"/>
      <c r="B390" s="321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</row>
    <row r="391" ht="12.75" customHeight="1">
      <c r="A391" s="321"/>
      <c r="B391" s="321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</row>
    <row r="392" ht="12.75" customHeight="1">
      <c r="A392" s="321"/>
      <c r="B392" s="321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</row>
    <row r="393" ht="12.75" customHeight="1">
      <c r="A393" s="321"/>
      <c r="B393" s="321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</row>
    <row r="394" ht="12.75" customHeight="1">
      <c r="A394" s="321"/>
      <c r="B394" s="321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</row>
    <row r="395" ht="12.75" customHeight="1">
      <c r="A395" s="321"/>
      <c r="B395" s="321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</row>
    <row r="396" ht="12.75" customHeight="1">
      <c r="A396" s="321"/>
      <c r="B396" s="321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</row>
    <row r="397" ht="12.75" customHeight="1">
      <c r="A397" s="321"/>
      <c r="B397" s="321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</row>
    <row r="398" ht="12.75" customHeight="1">
      <c r="A398" s="321"/>
      <c r="B398" s="321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</row>
    <row r="399" ht="12.75" customHeight="1">
      <c r="A399" s="321"/>
      <c r="B399" s="321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</row>
    <row r="400" ht="12.75" customHeight="1">
      <c r="A400" s="321"/>
      <c r="B400" s="321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</row>
    <row r="401" ht="12.75" customHeight="1">
      <c r="A401" s="321"/>
      <c r="B401" s="321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</row>
    <row r="402" ht="12.75" customHeight="1">
      <c r="A402" s="321"/>
      <c r="B402" s="321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</row>
    <row r="403" ht="12.75" customHeight="1">
      <c r="A403" s="321"/>
      <c r="B403" s="321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</row>
    <row r="404" ht="12.75" customHeight="1">
      <c r="A404" s="321"/>
      <c r="B404" s="321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</row>
    <row r="405" ht="12.75" customHeight="1">
      <c r="A405" s="321"/>
      <c r="B405" s="321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</row>
    <row r="406" ht="12.75" customHeight="1">
      <c r="A406" s="321"/>
      <c r="B406" s="321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</row>
    <row r="407" ht="12.75" customHeight="1">
      <c r="A407" s="321"/>
      <c r="B407" s="321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</row>
    <row r="408" ht="12.75" customHeight="1">
      <c r="A408" s="321"/>
      <c r="B408" s="321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</row>
    <row r="409" ht="12.75" customHeight="1">
      <c r="A409" s="321"/>
      <c r="B409" s="321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</row>
    <row r="410" ht="12.75" customHeight="1">
      <c r="A410" s="321"/>
      <c r="B410" s="321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</row>
    <row r="411" ht="12.75" customHeight="1">
      <c r="A411" s="321"/>
      <c r="B411" s="321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</row>
    <row r="412" ht="12.75" customHeight="1">
      <c r="A412" s="321"/>
      <c r="B412" s="321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</row>
    <row r="413" ht="12.75" customHeight="1">
      <c r="A413" s="321"/>
      <c r="B413" s="321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</row>
    <row r="414" ht="12.75" customHeight="1">
      <c r="A414" s="321"/>
      <c r="B414" s="321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</row>
    <row r="415" ht="12.75" customHeight="1">
      <c r="A415" s="321"/>
      <c r="B415" s="321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</row>
    <row r="416" ht="12.75" customHeight="1">
      <c r="A416" s="321"/>
      <c r="B416" s="321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</row>
    <row r="417" ht="12.75" customHeight="1">
      <c r="A417" s="321"/>
      <c r="B417" s="321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</row>
    <row r="418" ht="12.75" customHeight="1">
      <c r="A418" s="321"/>
      <c r="B418" s="321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</row>
    <row r="419" ht="12.75" customHeight="1">
      <c r="A419" s="321"/>
      <c r="B419" s="321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</row>
    <row r="420" ht="12.75" customHeight="1">
      <c r="A420" s="321"/>
      <c r="B420" s="321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</row>
    <row r="421" ht="12.75" customHeight="1">
      <c r="A421" s="321"/>
      <c r="B421" s="321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</row>
    <row r="422" ht="12.75" customHeight="1">
      <c r="A422" s="321"/>
      <c r="B422" s="321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</row>
    <row r="423" ht="12.75" customHeight="1">
      <c r="A423" s="321"/>
      <c r="B423" s="321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</row>
    <row r="424" ht="12.75" customHeight="1">
      <c r="A424" s="321"/>
      <c r="B424" s="321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</row>
    <row r="425" ht="12.75" customHeight="1">
      <c r="A425" s="321"/>
      <c r="B425" s="321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</row>
    <row r="426" ht="12.75" customHeight="1">
      <c r="A426" s="321"/>
      <c r="B426" s="321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</row>
    <row r="427" ht="12.75" customHeight="1">
      <c r="A427" s="321"/>
      <c r="B427" s="321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</row>
    <row r="428" ht="12.75" customHeight="1">
      <c r="A428" s="321"/>
      <c r="B428" s="321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</row>
    <row r="429" ht="12.75" customHeight="1">
      <c r="A429" s="321"/>
      <c r="B429" s="321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</row>
    <row r="430" ht="12.75" customHeight="1">
      <c r="A430" s="321"/>
      <c r="B430" s="321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</row>
    <row r="431" ht="12.75" customHeight="1">
      <c r="A431" s="321"/>
      <c r="B431" s="321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</row>
    <row r="432" ht="12.75" customHeight="1">
      <c r="A432" s="321"/>
      <c r="B432" s="321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</row>
    <row r="433" ht="12.75" customHeight="1">
      <c r="A433" s="321"/>
      <c r="B433" s="321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</row>
    <row r="434" ht="12.75" customHeight="1">
      <c r="A434" s="321"/>
      <c r="B434" s="321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</row>
    <row r="435" ht="12.75" customHeight="1">
      <c r="A435" s="321"/>
      <c r="B435" s="321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</row>
    <row r="436" ht="12.75" customHeight="1">
      <c r="A436" s="321"/>
      <c r="B436" s="321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</row>
    <row r="437" ht="12.75" customHeight="1">
      <c r="A437" s="321"/>
      <c r="B437" s="321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</row>
    <row r="438" ht="12.75" customHeight="1">
      <c r="A438" s="321"/>
      <c r="B438" s="321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</row>
    <row r="439" ht="12.75" customHeight="1">
      <c r="A439" s="321"/>
      <c r="B439" s="321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</row>
    <row r="440" ht="12.75" customHeight="1">
      <c r="A440" s="321"/>
      <c r="B440" s="321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</row>
    <row r="441" ht="12.75" customHeight="1">
      <c r="A441" s="321"/>
      <c r="B441" s="321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</row>
    <row r="442" ht="12.75" customHeight="1">
      <c r="A442" s="321"/>
      <c r="B442" s="321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</row>
    <row r="443" ht="12.75" customHeight="1">
      <c r="A443" s="321"/>
      <c r="B443" s="321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</row>
    <row r="444" ht="12.75" customHeight="1">
      <c r="A444" s="321"/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</row>
    <row r="445" ht="12.75" customHeight="1">
      <c r="A445" s="321"/>
      <c r="B445" s="321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</row>
    <row r="446" ht="12.75" customHeight="1">
      <c r="A446" s="321"/>
      <c r="B446" s="321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</row>
    <row r="447" ht="12.75" customHeight="1">
      <c r="A447" s="321"/>
      <c r="B447" s="321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</row>
    <row r="448" ht="12.75" customHeight="1">
      <c r="A448" s="321"/>
      <c r="B448" s="321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</row>
    <row r="449" ht="12.75" customHeight="1">
      <c r="A449" s="321"/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</row>
    <row r="450" ht="12.75" customHeight="1">
      <c r="A450" s="321"/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</row>
    <row r="451" ht="12.75" customHeight="1">
      <c r="A451" s="321"/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</row>
    <row r="452" ht="12.75" customHeight="1">
      <c r="A452" s="321"/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</row>
    <row r="453" ht="12.75" customHeight="1">
      <c r="A453" s="321"/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</row>
    <row r="454" ht="12.75" customHeight="1">
      <c r="A454" s="321"/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</row>
    <row r="455" ht="12.75" customHeight="1">
      <c r="A455" s="321"/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</row>
    <row r="456" ht="12.75" customHeight="1">
      <c r="A456" s="321"/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</row>
    <row r="457" ht="12.75" customHeight="1">
      <c r="A457" s="321"/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</row>
    <row r="458" ht="12.75" customHeight="1">
      <c r="A458" s="321"/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</row>
    <row r="459" ht="12.75" customHeight="1">
      <c r="A459" s="321"/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</row>
    <row r="460" ht="12.75" customHeight="1">
      <c r="A460" s="321"/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</row>
    <row r="461" ht="12.75" customHeight="1">
      <c r="A461" s="321"/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</row>
    <row r="462" ht="12.75" customHeight="1">
      <c r="A462" s="321"/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</row>
    <row r="463" ht="12.75" customHeight="1">
      <c r="A463" s="321"/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</row>
    <row r="464" ht="12.75" customHeight="1">
      <c r="A464" s="321"/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</row>
    <row r="465" ht="12.75" customHeight="1">
      <c r="A465" s="321"/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</row>
    <row r="466" ht="12.75" customHeight="1">
      <c r="A466" s="321"/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</row>
    <row r="467" ht="12.75" customHeight="1">
      <c r="A467" s="321"/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</row>
    <row r="468" ht="12.75" customHeight="1">
      <c r="A468" s="321"/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</row>
    <row r="469" ht="12.75" customHeight="1">
      <c r="A469" s="321"/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</row>
    <row r="470" ht="12.75" customHeight="1">
      <c r="A470" s="321"/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</row>
    <row r="471" ht="12.75" customHeight="1">
      <c r="A471" s="321"/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</row>
    <row r="472" ht="12.75" customHeight="1">
      <c r="A472" s="321"/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</row>
    <row r="473" ht="12.75" customHeight="1">
      <c r="A473" s="321"/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</row>
    <row r="474" ht="12.75" customHeight="1">
      <c r="A474" s="321"/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</row>
    <row r="475" ht="12.75" customHeight="1">
      <c r="A475" s="321"/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</row>
    <row r="476" ht="12.75" customHeight="1">
      <c r="A476" s="321"/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</row>
    <row r="477" ht="12.75" customHeight="1">
      <c r="A477" s="321"/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</row>
    <row r="478" ht="12.75" customHeight="1">
      <c r="A478" s="321"/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</row>
    <row r="479" ht="12.75" customHeight="1">
      <c r="A479" s="321"/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</row>
    <row r="480" ht="12.75" customHeight="1">
      <c r="A480" s="321"/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</row>
    <row r="481" ht="12.75" customHeight="1">
      <c r="A481" s="321"/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</row>
    <row r="482" ht="12.75" customHeight="1">
      <c r="A482" s="321"/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</row>
    <row r="483" ht="12.75" customHeight="1">
      <c r="A483" s="321"/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</row>
    <row r="484" ht="12.75" customHeight="1">
      <c r="A484" s="321"/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</row>
    <row r="485" ht="12.75" customHeight="1">
      <c r="A485" s="321"/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</row>
    <row r="486" ht="12.75" customHeight="1">
      <c r="A486" s="321"/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</row>
    <row r="487" ht="12.75" customHeight="1">
      <c r="A487" s="321"/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</row>
    <row r="488" ht="12.75" customHeight="1">
      <c r="A488" s="321"/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</row>
    <row r="489" ht="12.75" customHeight="1">
      <c r="A489" s="321"/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</row>
    <row r="490" ht="12.75" customHeight="1">
      <c r="A490" s="321"/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</row>
    <row r="491" ht="12.75" customHeight="1">
      <c r="A491" s="321"/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</row>
    <row r="492" ht="12.75" customHeight="1">
      <c r="A492" s="321"/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</row>
    <row r="493" ht="12.75" customHeight="1">
      <c r="A493" s="321"/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</row>
    <row r="494" ht="12.75" customHeight="1">
      <c r="A494" s="321"/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</row>
    <row r="495" ht="12.75" customHeight="1">
      <c r="A495" s="321"/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</row>
    <row r="496" ht="12.75" customHeight="1">
      <c r="A496" s="321"/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</row>
    <row r="497" ht="12.75" customHeight="1">
      <c r="A497" s="321"/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</row>
    <row r="498" ht="12.75" customHeight="1">
      <c r="A498" s="321"/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</row>
    <row r="499" ht="12.75" customHeight="1">
      <c r="A499" s="321"/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</row>
    <row r="500" ht="12.75" customHeight="1">
      <c r="A500" s="321"/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</row>
    <row r="501" ht="12.75" customHeight="1">
      <c r="A501" s="321"/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</row>
    <row r="502" ht="12.75" customHeight="1">
      <c r="A502" s="321"/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</row>
    <row r="503" ht="12.75" customHeight="1">
      <c r="A503" s="321"/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</row>
    <row r="504" ht="12.75" customHeight="1">
      <c r="A504" s="321"/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</row>
    <row r="505" ht="12.75" customHeight="1">
      <c r="A505" s="321"/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</row>
    <row r="506" ht="12.75" customHeight="1">
      <c r="A506" s="321"/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</row>
    <row r="507" ht="12.75" customHeight="1">
      <c r="A507" s="321"/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</row>
    <row r="508" ht="12.75" customHeight="1">
      <c r="A508" s="321"/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</row>
    <row r="509" ht="12.75" customHeight="1">
      <c r="A509" s="321"/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</row>
    <row r="510" ht="12.75" customHeight="1">
      <c r="A510" s="321"/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</row>
    <row r="511" ht="12.75" customHeight="1">
      <c r="A511" s="321"/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</row>
    <row r="512" ht="12.75" customHeight="1">
      <c r="A512" s="321"/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</row>
    <row r="513" ht="12.75" customHeight="1">
      <c r="A513" s="321"/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</row>
    <row r="514" ht="12.75" customHeight="1">
      <c r="A514" s="321"/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</row>
    <row r="515" ht="12.75" customHeight="1">
      <c r="A515" s="321"/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</row>
    <row r="516" ht="12.75" customHeight="1">
      <c r="A516" s="321"/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</row>
    <row r="517" ht="12.75" customHeight="1">
      <c r="A517" s="321"/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</row>
    <row r="518" ht="12.75" customHeight="1">
      <c r="A518" s="321"/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</row>
    <row r="519" ht="12.75" customHeight="1">
      <c r="A519" s="321"/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</row>
    <row r="520" ht="12.75" customHeight="1">
      <c r="A520" s="321"/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</row>
    <row r="521" ht="12.75" customHeight="1">
      <c r="A521" s="321"/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</row>
    <row r="522" ht="12.75" customHeight="1">
      <c r="A522" s="321"/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</row>
    <row r="523" ht="12.75" customHeight="1">
      <c r="A523" s="321"/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</row>
    <row r="524" ht="12.75" customHeight="1">
      <c r="A524" s="321"/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</row>
    <row r="525" ht="12.75" customHeight="1">
      <c r="A525" s="321"/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</row>
    <row r="526" ht="12.75" customHeight="1">
      <c r="A526" s="321"/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</row>
    <row r="527" ht="12.75" customHeight="1">
      <c r="A527" s="321"/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</row>
    <row r="528" ht="12.75" customHeight="1">
      <c r="A528" s="321"/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</row>
    <row r="529" ht="12.75" customHeight="1">
      <c r="A529" s="321"/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</row>
    <row r="530" ht="12.75" customHeight="1">
      <c r="A530" s="321"/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</row>
    <row r="531" ht="12.75" customHeight="1">
      <c r="A531" s="321"/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</row>
    <row r="532" ht="12.75" customHeight="1">
      <c r="A532" s="321"/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</row>
    <row r="533" ht="12.75" customHeight="1">
      <c r="A533" s="321"/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</row>
    <row r="534" ht="12.75" customHeight="1">
      <c r="A534" s="321"/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</row>
    <row r="535" ht="12.75" customHeight="1">
      <c r="A535" s="321"/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</row>
    <row r="536" ht="12.75" customHeight="1">
      <c r="A536" s="321"/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</row>
    <row r="537" ht="12.75" customHeight="1">
      <c r="A537" s="321"/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</row>
    <row r="538" ht="12.75" customHeight="1">
      <c r="A538" s="321"/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</row>
    <row r="539" ht="12.75" customHeight="1">
      <c r="A539" s="321"/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</row>
    <row r="540" ht="12.75" customHeight="1">
      <c r="A540" s="321"/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</row>
    <row r="541" ht="12.75" customHeight="1">
      <c r="A541" s="321"/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</row>
    <row r="542" ht="12.75" customHeight="1">
      <c r="A542" s="321"/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</row>
    <row r="543" ht="12.75" customHeight="1">
      <c r="A543" s="321"/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</row>
    <row r="544" ht="12.75" customHeight="1">
      <c r="A544" s="321"/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</row>
    <row r="545" ht="12.75" customHeight="1">
      <c r="A545" s="321"/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</row>
    <row r="546" ht="12.75" customHeight="1">
      <c r="A546" s="321"/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</row>
    <row r="547" ht="12.75" customHeight="1">
      <c r="A547" s="321"/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</row>
    <row r="548" ht="12.75" customHeight="1">
      <c r="A548" s="321"/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</row>
    <row r="549" ht="12.75" customHeight="1">
      <c r="A549" s="321"/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</row>
    <row r="550" ht="12.75" customHeight="1">
      <c r="A550" s="321"/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</row>
    <row r="551" ht="12.75" customHeight="1">
      <c r="A551" s="321"/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</row>
    <row r="552" ht="12.75" customHeight="1">
      <c r="A552" s="321"/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</row>
    <row r="553" ht="12.75" customHeight="1">
      <c r="A553" s="321"/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</row>
    <row r="554" ht="12.75" customHeight="1">
      <c r="A554" s="321"/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</row>
    <row r="555" ht="12.75" customHeight="1">
      <c r="A555" s="321"/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</row>
    <row r="556" ht="12.75" customHeight="1">
      <c r="A556" s="321"/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</row>
    <row r="557" ht="12.75" customHeight="1">
      <c r="A557" s="321"/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</row>
    <row r="558" ht="12.75" customHeight="1">
      <c r="A558" s="321"/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</row>
    <row r="559" ht="12.75" customHeight="1">
      <c r="A559" s="321"/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</row>
    <row r="560" ht="12.75" customHeight="1">
      <c r="A560" s="321"/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</row>
    <row r="561" ht="12.75" customHeight="1">
      <c r="A561" s="321"/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</row>
    <row r="562" ht="12.75" customHeight="1">
      <c r="A562" s="321"/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</row>
    <row r="563" ht="12.75" customHeight="1">
      <c r="A563" s="321"/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</row>
    <row r="564" ht="12.75" customHeight="1">
      <c r="A564" s="321"/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</row>
    <row r="565" ht="12.75" customHeight="1">
      <c r="A565" s="321"/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</row>
    <row r="566" ht="12.75" customHeight="1">
      <c r="A566" s="321"/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</row>
    <row r="567" ht="12.75" customHeight="1">
      <c r="A567" s="321"/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</row>
    <row r="568" ht="12.75" customHeight="1">
      <c r="A568" s="321"/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</row>
    <row r="569" ht="12.75" customHeight="1">
      <c r="A569" s="321"/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</row>
    <row r="570" ht="12.75" customHeight="1">
      <c r="A570" s="321"/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</row>
    <row r="571" ht="12.75" customHeight="1">
      <c r="A571" s="321"/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</row>
    <row r="572" ht="12.75" customHeight="1">
      <c r="A572" s="321"/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</row>
    <row r="573" ht="12.75" customHeight="1">
      <c r="A573" s="321"/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</row>
    <row r="574" ht="12.75" customHeight="1">
      <c r="A574" s="321"/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</row>
    <row r="575" ht="12.75" customHeight="1">
      <c r="A575" s="321"/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</row>
    <row r="576" ht="12.75" customHeight="1">
      <c r="A576" s="321"/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</row>
    <row r="577" ht="12.75" customHeight="1">
      <c r="A577" s="321"/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</row>
    <row r="578" ht="12.75" customHeight="1">
      <c r="A578" s="321"/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</row>
    <row r="579" ht="12.75" customHeight="1">
      <c r="A579" s="321"/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</row>
    <row r="580" ht="12.75" customHeight="1">
      <c r="A580" s="321"/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</row>
    <row r="581" ht="12.75" customHeight="1">
      <c r="A581" s="321"/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</row>
    <row r="582" ht="12.75" customHeight="1">
      <c r="A582" s="321"/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</row>
    <row r="583" ht="12.75" customHeight="1">
      <c r="A583" s="321"/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</row>
    <row r="584" ht="12.75" customHeight="1">
      <c r="A584" s="321"/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</row>
    <row r="585" ht="12.75" customHeight="1">
      <c r="A585" s="321"/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</row>
    <row r="586" ht="12.75" customHeight="1">
      <c r="A586" s="321"/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</row>
    <row r="587" ht="12.75" customHeight="1">
      <c r="A587" s="321"/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</row>
    <row r="588" ht="12.75" customHeight="1">
      <c r="A588" s="321"/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</row>
    <row r="589" ht="12.75" customHeight="1">
      <c r="A589" s="321"/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</row>
    <row r="590" ht="12.75" customHeight="1">
      <c r="A590" s="321"/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</row>
    <row r="591" ht="12.75" customHeight="1">
      <c r="A591" s="321"/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</row>
    <row r="592" ht="12.75" customHeight="1">
      <c r="A592" s="321"/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</row>
    <row r="593" ht="12.75" customHeight="1">
      <c r="A593" s="321"/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</row>
    <row r="594" ht="12.75" customHeight="1">
      <c r="A594" s="321"/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</row>
    <row r="595" ht="12.75" customHeight="1">
      <c r="A595" s="321"/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</row>
    <row r="596" ht="12.75" customHeight="1">
      <c r="A596" s="321"/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</row>
    <row r="597" ht="12.75" customHeight="1">
      <c r="A597" s="321"/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</row>
    <row r="598" ht="12.75" customHeight="1">
      <c r="A598" s="321"/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</row>
    <row r="599" ht="12.75" customHeight="1">
      <c r="A599" s="321"/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</row>
    <row r="600" ht="12.75" customHeight="1">
      <c r="A600" s="321"/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</row>
    <row r="601" ht="12.75" customHeight="1">
      <c r="A601" s="321"/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</row>
    <row r="602" ht="12.75" customHeight="1">
      <c r="A602" s="321"/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</row>
    <row r="603" ht="12.75" customHeight="1">
      <c r="A603" s="321"/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</row>
    <row r="604" ht="12.75" customHeight="1">
      <c r="A604" s="321"/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</row>
    <row r="605" ht="12.75" customHeight="1">
      <c r="A605" s="321"/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</row>
    <row r="606" ht="12.75" customHeight="1">
      <c r="A606" s="321"/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</row>
    <row r="607" ht="12.75" customHeight="1">
      <c r="A607" s="321"/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</row>
    <row r="608" ht="12.75" customHeight="1">
      <c r="A608" s="321"/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</row>
    <row r="609" ht="12.75" customHeight="1">
      <c r="A609" s="321"/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</row>
    <row r="610" ht="12.75" customHeight="1">
      <c r="A610" s="321"/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</row>
    <row r="611" ht="12.75" customHeight="1">
      <c r="A611" s="321"/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</row>
    <row r="612" ht="12.75" customHeight="1">
      <c r="A612" s="321"/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</row>
    <row r="613" ht="12.75" customHeight="1">
      <c r="A613" s="321"/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</row>
    <row r="614" ht="12.75" customHeight="1">
      <c r="A614" s="321"/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</row>
    <row r="615" ht="12.75" customHeight="1">
      <c r="A615" s="321"/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</row>
    <row r="616" ht="12.75" customHeight="1">
      <c r="A616" s="321"/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</row>
    <row r="617" ht="12.75" customHeight="1">
      <c r="A617" s="321"/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</row>
    <row r="618" ht="12.75" customHeight="1">
      <c r="A618" s="321"/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</row>
    <row r="619" ht="12.75" customHeight="1">
      <c r="A619" s="321"/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</row>
    <row r="620" ht="12.75" customHeight="1">
      <c r="A620" s="321"/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</row>
    <row r="621" ht="12.75" customHeight="1">
      <c r="A621" s="321"/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</row>
    <row r="622" ht="12.75" customHeight="1">
      <c r="A622" s="321"/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</row>
    <row r="623" ht="12.75" customHeight="1">
      <c r="A623" s="321"/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</row>
    <row r="624" ht="12.75" customHeight="1">
      <c r="A624" s="321"/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</row>
    <row r="625" ht="12.75" customHeight="1">
      <c r="A625" s="321"/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</row>
    <row r="626" ht="12.75" customHeight="1">
      <c r="A626" s="321"/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</row>
    <row r="627" ht="12.75" customHeight="1">
      <c r="A627" s="321"/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</row>
    <row r="628" ht="12.75" customHeight="1">
      <c r="A628" s="321"/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</row>
    <row r="629" ht="12.75" customHeight="1">
      <c r="A629" s="321"/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</row>
    <row r="630" ht="12.75" customHeight="1">
      <c r="A630" s="321"/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</row>
    <row r="631" ht="12.75" customHeight="1">
      <c r="A631" s="321"/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</row>
    <row r="632" ht="12.75" customHeight="1">
      <c r="A632" s="321"/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</row>
    <row r="633" ht="12.75" customHeight="1">
      <c r="A633" s="321"/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</row>
    <row r="634" ht="12.75" customHeight="1">
      <c r="A634" s="321"/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</row>
    <row r="635" ht="12.75" customHeight="1">
      <c r="A635" s="321"/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</row>
    <row r="636" ht="12.75" customHeight="1">
      <c r="A636" s="321"/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</row>
    <row r="637" ht="12.75" customHeight="1">
      <c r="A637" s="321"/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</row>
    <row r="638" ht="12.75" customHeight="1">
      <c r="A638" s="321"/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</row>
    <row r="639" ht="12.75" customHeight="1">
      <c r="A639" s="321"/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</row>
    <row r="640" ht="12.75" customHeight="1">
      <c r="A640" s="321"/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</row>
    <row r="641" ht="12.75" customHeight="1">
      <c r="A641" s="321"/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</row>
    <row r="642" ht="12.75" customHeight="1">
      <c r="A642" s="321"/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</row>
    <row r="643" ht="12.75" customHeight="1">
      <c r="A643" s="321"/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</row>
    <row r="644" ht="12.75" customHeight="1">
      <c r="A644" s="321"/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</row>
    <row r="645" ht="12.75" customHeight="1">
      <c r="A645" s="321"/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</row>
    <row r="646" ht="12.75" customHeight="1">
      <c r="A646" s="321"/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</row>
    <row r="647" ht="12.75" customHeight="1">
      <c r="A647" s="321"/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</row>
    <row r="648" ht="12.75" customHeight="1">
      <c r="A648" s="321"/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</row>
    <row r="649" ht="12.75" customHeight="1">
      <c r="A649" s="321"/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</row>
    <row r="650" ht="12.75" customHeight="1">
      <c r="A650" s="321"/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</row>
    <row r="651" ht="12.75" customHeight="1">
      <c r="A651" s="321"/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</row>
    <row r="652" ht="12.75" customHeight="1">
      <c r="A652" s="321"/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</row>
    <row r="653" ht="12.75" customHeight="1">
      <c r="A653" s="321"/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</row>
    <row r="654" ht="12.75" customHeight="1">
      <c r="A654" s="321"/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</row>
    <row r="655" ht="12.75" customHeight="1">
      <c r="A655" s="321"/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</row>
    <row r="656" ht="12.75" customHeight="1">
      <c r="A656" s="321"/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</row>
    <row r="657" ht="12.75" customHeight="1">
      <c r="A657" s="321"/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</row>
    <row r="658" ht="12.75" customHeight="1">
      <c r="A658" s="321"/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</row>
    <row r="659" ht="12.75" customHeight="1">
      <c r="A659" s="321"/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</row>
    <row r="660" ht="12.75" customHeight="1">
      <c r="A660" s="321"/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</row>
    <row r="661" ht="12.75" customHeight="1">
      <c r="A661" s="321"/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</row>
    <row r="662" ht="12.75" customHeight="1">
      <c r="A662" s="321"/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</row>
    <row r="663" ht="12.75" customHeight="1">
      <c r="A663" s="321"/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</row>
    <row r="664" ht="12.75" customHeight="1">
      <c r="A664" s="321"/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</row>
    <row r="665" ht="12.75" customHeight="1">
      <c r="A665" s="321"/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</row>
    <row r="666" ht="12.75" customHeight="1">
      <c r="A666" s="321"/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</row>
    <row r="667" ht="12.75" customHeight="1">
      <c r="A667" s="321"/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</row>
    <row r="668" ht="12.75" customHeight="1">
      <c r="A668" s="321"/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</row>
    <row r="669" ht="12.75" customHeight="1">
      <c r="A669" s="321"/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</row>
    <row r="670" ht="12.75" customHeight="1">
      <c r="A670" s="321"/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</row>
    <row r="671" ht="12.75" customHeight="1">
      <c r="A671" s="321"/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</row>
    <row r="672" ht="12.75" customHeight="1">
      <c r="A672" s="321"/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</row>
    <row r="673" ht="12.75" customHeight="1">
      <c r="A673" s="321"/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</row>
    <row r="674" ht="12.75" customHeight="1">
      <c r="A674" s="321"/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</row>
    <row r="675" ht="12.75" customHeight="1">
      <c r="A675" s="321"/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</row>
    <row r="676" ht="12.75" customHeight="1">
      <c r="A676" s="321"/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</row>
    <row r="677" ht="12.75" customHeight="1">
      <c r="A677" s="321"/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</row>
    <row r="678" ht="12.75" customHeight="1">
      <c r="A678" s="321"/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</row>
    <row r="679" ht="12.75" customHeight="1">
      <c r="A679" s="321"/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</row>
    <row r="680" ht="12.75" customHeight="1">
      <c r="A680" s="321"/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</row>
    <row r="681" ht="12.75" customHeight="1">
      <c r="A681" s="321"/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</row>
    <row r="682" ht="12.75" customHeight="1">
      <c r="A682" s="321"/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</row>
    <row r="683" ht="12.75" customHeight="1">
      <c r="A683" s="321"/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</row>
    <row r="684" ht="12.75" customHeight="1">
      <c r="A684" s="321"/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</row>
    <row r="685" ht="12.75" customHeight="1">
      <c r="A685" s="321"/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</row>
    <row r="686" ht="12.75" customHeight="1">
      <c r="A686" s="321"/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</row>
    <row r="687" ht="12.75" customHeight="1">
      <c r="A687" s="321"/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</row>
    <row r="688" ht="12.75" customHeight="1">
      <c r="A688" s="321"/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</row>
    <row r="689" ht="12.75" customHeight="1">
      <c r="A689" s="321"/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</row>
    <row r="690" ht="12.75" customHeight="1">
      <c r="A690" s="321"/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</row>
    <row r="691" ht="12.75" customHeight="1">
      <c r="A691" s="321"/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</row>
    <row r="692" ht="12.75" customHeight="1">
      <c r="A692" s="321"/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</row>
    <row r="693" ht="12.75" customHeight="1">
      <c r="A693" s="321"/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</row>
    <row r="694" ht="12.75" customHeight="1">
      <c r="A694" s="321"/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</row>
    <row r="695" ht="12.75" customHeight="1">
      <c r="A695" s="321"/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</row>
    <row r="696" ht="12.75" customHeight="1">
      <c r="A696" s="321"/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</row>
    <row r="697" ht="12.75" customHeight="1">
      <c r="A697" s="321"/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</row>
    <row r="698" ht="12.75" customHeight="1">
      <c r="A698" s="321"/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</row>
    <row r="699" ht="12.75" customHeight="1">
      <c r="A699" s="321"/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</row>
    <row r="700" ht="12.75" customHeight="1">
      <c r="A700" s="321"/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</row>
    <row r="701" ht="12.75" customHeight="1">
      <c r="A701" s="321"/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</row>
    <row r="702" ht="12.75" customHeight="1">
      <c r="A702" s="321"/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</row>
    <row r="703" ht="12.75" customHeight="1">
      <c r="A703" s="321"/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</row>
    <row r="704" ht="12.75" customHeight="1">
      <c r="A704" s="321"/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</row>
    <row r="705" ht="12.75" customHeight="1">
      <c r="A705" s="321"/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</row>
    <row r="706" ht="12.75" customHeight="1">
      <c r="A706" s="321"/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</row>
    <row r="707" ht="12.75" customHeight="1">
      <c r="A707" s="321"/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</row>
    <row r="708" ht="12.75" customHeight="1">
      <c r="A708" s="321"/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</row>
    <row r="709" ht="12.75" customHeight="1">
      <c r="A709" s="321"/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</row>
    <row r="710" ht="12.75" customHeight="1">
      <c r="A710" s="321"/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</row>
    <row r="711" ht="12.75" customHeight="1">
      <c r="A711" s="321"/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</row>
    <row r="712" ht="12.75" customHeight="1">
      <c r="A712" s="321"/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</row>
    <row r="713" ht="12.75" customHeight="1">
      <c r="A713" s="321"/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</row>
    <row r="714" ht="12.75" customHeight="1">
      <c r="A714" s="321"/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</row>
    <row r="715" ht="12.75" customHeight="1">
      <c r="A715" s="321"/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</row>
    <row r="716" ht="12.75" customHeight="1">
      <c r="A716" s="321"/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</row>
    <row r="717" ht="12.75" customHeight="1">
      <c r="A717" s="321"/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</row>
    <row r="718" ht="12.75" customHeight="1">
      <c r="A718" s="321"/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</row>
    <row r="719" ht="12.75" customHeight="1">
      <c r="A719" s="321"/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</row>
    <row r="720" ht="12.75" customHeight="1">
      <c r="A720" s="321"/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</row>
    <row r="721" ht="12.75" customHeight="1">
      <c r="A721" s="321"/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</row>
    <row r="722" ht="12.75" customHeight="1">
      <c r="A722" s="321"/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</row>
    <row r="723" ht="12.75" customHeight="1">
      <c r="A723" s="321"/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</row>
    <row r="724" ht="12.75" customHeight="1">
      <c r="A724" s="321"/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</row>
    <row r="725" ht="12.75" customHeight="1">
      <c r="A725" s="321"/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</row>
    <row r="726" ht="12.75" customHeight="1">
      <c r="A726" s="321"/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</row>
    <row r="727" ht="12.75" customHeight="1">
      <c r="A727" s="321"/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</row>
    <row r="728" ht="12.75" customHeight="1">
      <c r="A728" s="321"/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</row>
    <row r="729" ht="12.75" customHeight="1">
      <c r="A729" s="321"/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</row>
    <row r="730" ht="12.75" customHeight="1">
      <c r="A730" s="321"/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</row>
    <row r="731" ht="12.75" customHeight="1">
      <c r="A731" s="321"/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</row>
    <row r="732" ht="12.75" customHeight="1">
      <c r="A732" s="321"/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</row>
    <row r="733" ht="12.75" customHeight="1">
      <c r="A733" s="321"/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</row>
    <row r="734" ht="12.75" customHeight="1">
      <c r="A734" s="321"/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</row>
    <row r="735" ht="12.75" customHeight="1">
      <c r="A735" s="321"/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</row>
    <row r="736" ht="12.75" customHeight="1">
      <c r="A736" s="321"/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</row>
    <row r="737" ht="12.75" customHeight="1">
      <c r="A737" s="321"/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</row>
    <row r="738" ht="12.75" customHeight="1">
      <c r="A738" s="321"/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</row>
    <row r="739" ht="12.75" customHeight="1">
      <c r="A739" s="321"/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</row>
    <row r="740" ht="12.75" customHeight="1">
      <c r="A740" s="321"/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</row>
    <row r="741" ht="12.75" customHeight="1">
      <c r="A741" s="321"/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</row>
    <row r="742" ht="12.75" customHeight="1">
      <c r="A742" s="321"/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</row>
    <row r="743" ht="12.75" customHeight="1">
      <c r="A743" s="321"/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</row>
    <row r="744" ht="12.75" customHeight="1">
      <c r="A744" s="321"/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</row>
    <row r="745" ht="12.75" customHeight="1">
      <c r="A745" s="321"/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</row>
    <row r="746" ht="12.75" customHeight="1">
      <c r="A746" s="321"/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</row>
    <row r="747" ht="12.75" customHeight="1">
      <c r="A747" s="321"/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</row>
    <row r="748" ht="12.75" customHeight="1">
      <c r="A748" s="321"/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</row>
    <row r="749" ht="12.75" customHeight="1">
      <c r="A749" s="321"/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</row>
    <row r="750" ht="12.75" customHeight="1">
      <c r="A750" s="321"/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</row>
    <row r="751" ht="12.75" customHeight="1">
      <c r="A751" s="321"/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</row>
    <row r="752" ht="12.75" customHeight="1">
      <c r="A752" s="321"/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</row>
    <row r="753" ht="12.75" customHeight="1">
      <c r="A753" s="321"/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</row>
    <row r="754" ht="12.75" customHeight="1">
      <c r="A754" s="321"/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</row>
    <row r="755" ht="12.75" customHeight="1">
      <c r="A755" s="321"/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</row>
    <row r="756" ht="12.75" customHeight="1">
      <c r="A756" s="321"/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</row>
    <row r="757" ht="12.75" customHeight="1">
      <c r="A757" s="321"/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</row>
    <row r="758" ht="12.75" customHeight="1">
      <c r="A758" s="321"/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</row>
    <row r="759" ht="12.75" customHeight="1">
      <c r="A759" s="321"/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</row>
    <row r="760" ht="12.75" customHeight="1">
      <c r="A760" s="321"/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</row>
    <row r="761" ht="12.75" customHeight="1">
      <c r="A761" s="321"/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</row>
    <row r="762" ht="12.75" customHeight="1">
      <c r="A762" s="321"/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</row>
    <row r="763" ht="12.75" customHeight="1">
      <c r="A763" s="321"/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</row>
    <row r="764" ht="12.75" customHeight="1">
      <c r="A764" s="321"/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</row>
    <row r="765" ht="12.75" customHeight="1">
      <c r="A765" s="321"/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</row>
    <row r="766" ht="12.75" customHeight="1">
      <c r="A766" s="321"/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</row>
    <row r="767" ht="12.75" customHeight="1">
      <c r="A767" s="321"/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</row>
    <row r="768" ht="12.75" customHeight="1">
      <c r="A768" s="321"/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</row>
    <row r="769" ht="12.75" customHeight="1">
      <c r="A769" s="321"/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</row>
    <row r="770" ht="12.75" customHeight="1">
      <c r="A770" s="321"/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</row>
    <row r="771" ht="12.75" customHeight="1">
      <c r="A771" s="321"/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</row>
    <row r="772" ht="12.75" customHeight="1">
      <c r="A772" s="321"/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</row>
    <row r="773" ht="12.75" customHeight="1">
      <c r="A773" s="321"/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</row>
    <row r="774" ht="12.75" customHeight="1">
      <c r="A774" s="321"/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</row>
    <row r="775" ht="12.75" customHeight="1">
      <c r="A775" s="321"/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</row>
    <row r="776" ht="12.75" customHeight="1">
      <c r="A776" s="321"/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</row>
    <row r="777" ht="12.75" customHeight="1">
      <c r="A777" s="321"/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</row>
    <row r="778" ht="12.75" customHeight="1">
      <c r="A778" s="321"/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</row>
    <row r="779" ht="12.75" customHeight="1">
      <c r="A779" s="321"/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</row>
    <row r="780" ht="12.75" customHeight="1">
      <c r="A780" s="321"/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</row>
    <row r="781" ht="12.75" customHeight="1">
      <c r="A781" s="321"/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</row>
    <row r="782" ht="12.75" customHeight="1">
      <c r="A782" s="321"/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</row>
    <row r="783" ht="12.75" customHeight="1">
      <c r="A783" s="321"/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</row>
    <row r="784" ht="12.75" customHeight="1">
      <c r="A784" s="321"/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</row>
    <row r="785" ht="12.75" customHeight="1">
      <c r="A785" s="321"/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</row>
    <row r="786" ht="12.75" customHeight="1">
      <c r="A786" s="321"/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</row>
    <row r="787" ht="12.75" customHeight="1">
      <c r="A787" s="321"/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</row>
    <row r="788" ht="12.75" customHeight="1">
      <c r="A788" s="321"/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</row>
    <row r="789" ht="12.75" customHeight="1">
      <c r="A789" s="321"/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</row>
    <row r="790" ht="12.75" customHeight="1">
      <c r="A790" s="321"/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</row>
    <row r="791" ht="12.75" customHeight="1">
      <c r="A791" s="321"/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</row>
    <row r="792" ht="12.75" customHeight="1">
      <c r="A792" s="321"/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</row>
    <row r="793" ht="12.75" customHeight="1">
      <c r="A793" s="321"/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</row>
    <row r="794" ht="12.75" customHeight="1">
      <c r="A794" s="321"/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</row>
    <row r="795" ht="12.75" customHeight="1">
      <c r="A795" s="321"/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</row>
    <row r="796" ht="12.75" customHeight="1">
      <c r="A796" s="321"/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</row>
    <row r="797" ht="12.75" customHeight="1">
      <c r="A797" s="321"/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</row>
    <row r="798" ht="12.75" customHeight="1">
      <c r="A798" s="321"/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</row>
    <row r="799" ht="12.75" customHeight="1">
      <c r="A799" s="321"/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</row>
    <row r="800" ht="12.75" customHeight="1">
      <c r="A800" s="321"/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</row>
    <row r="801" ht="12.75" customHeight="1">
      <c r="A801" s="321"/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</row>
    <row r="802" ht="12.75" customHeight="1">
      <c r="A802" s="321"/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</row>
    <row r="803" ht="12.75" customHeight="1">
      <c r="A803" s="321"/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</row>
    <row r="804" ht="12.75" customHeight="1">
      <c r="A804" s="321"/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</row>
    <row r="805" ht="12.75" customHeight="1">
      <c r="A805" s="321"/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</row>
    <row r="806" ht="12.75" customHeight="1">
      <c r="A806" s="321"/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</row>
    <row r="807" ht="12.75" customHeight="1">
      <c r="A807" s="321"/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</row>
    <row r="808" ht="12.75" customHeight="1">
      <c r="A808" s="321"/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</row>
    <row r="809" ht="12.75" customHeight="1">
      <c r="A809" s="321"/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</row>
    <row r="810" ht="12.75" customHeight="1">
      <c r="A810" s="321"/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</row>
    <row r="811" ht="12.75" customHeight="1">
      <c r="A811" s="321"/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</row>
    <row r="812" ht="12.75" customHeight="1">
      <c r="A812" s="321"/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</row>
    <row r="813" ht="12.75" customHeight="1">
      <c r="A813" s="321"/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</row>
    <row r="814" ht="12.75" customHeight="1">
      <c r="A814" s="321"/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</row>
    <row r="815" ht="12.75" customHeight="1">
      <c r="A815" s="321"/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</row>
    <row r="816" ht="12.75" customHeight="1">
      <c r="A816" s="321"/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</row>
    <row r="817" ht="12.75" customHeight="1">
      <c r="A817" s="321"/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</row>
    <row r="818" ht="12.75" customHeight="1">
      <c r="A818" s="321"/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</row>
    <row r="819" ht="12.75" customHeight="1">
      <c r="A819" s="321"/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</row>
    <row r="820" ht="12.75" customHeight="1">
      <c r="A820" s="321"/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</row>
    <row r="821" ht="12.75" customHeight="1">
      <c r="A821" s="321"/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</row>
    <row r="822" ht="12.75" customHeight="1">
      <c r="A822" s="321"/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</row>
    <row r="823" ht="12.75" customHeight="1">
      <c r="A823" s="321"/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</row>
    <row r="824" ht="12.75" customHeight="1">
      <c r="A824" s="321"/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</row>
    <row r="825" ht="12.75" customHeight="1">
      <c r="A825" s="321"/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</row>
    <row r="826" ht="12.75" customHeight="1">
      <c r="A826" s="321"/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</row>
    <row r="827" ht="12.75" customHeight="1">
      <c r="A827" s="321"/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</row>
    <row r="828" ht="12.75" customHeight="1">
      <c r="A828" s="321"/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</row>
    <row r="829" ht="12.75" customHeight="1">
      <c r="A829" s="321"/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</row>
    <row r="830" ht="12.75" customHeight="1">
      <c r="A830" s="321"/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</row>
    <row r="831" ht="12.75" customHeight="1">
      <c r="A831" s="321"/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</row>
    <row r="832" ht="12.75" customHeight="1">
      <c r="A832" s="321"/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</row>
    <row r="833" ht="12.75" customHeight="1">
      <c r="A833" s="321"/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</row>
    <row r="834" ht="12.75" customHeight="1">
      <c r="A834" s="321"/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</row>
    <row r="835" ht="12.75" customHeight="1">
      <c r="A835" s="321"/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</row>
    <row r="836" ht="12.75" customHeight="1">
      <c r="A836" s="321"/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</row>
    <row r="837" ht="12.75" customHeight="1">
      <c r="A837" s="321"/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</row>
    <row r="838" ht="12.75" customHeight="1">
      <c r="A838" s="321"/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</row>
    <row r="839" ht="12.75" customHeight="1">
      <c r="A839" s="321"/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</row>
    <row r="840" ht="12.75" customHeight="1">
      <c r="A840" s="321"/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</row>
    <row r="841" ht="12.75" customHeight="1">
      <c r="A841" s="321"/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</row>
    <row r="842" ht="12.75" customHeight="1">
      <c r="A842" s="321"/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</row>
    <row r="843" ht="12.75" customHeight="1">
      <c r="A843" s="321"/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</row>
    <row r="844" ht="12.75" customHeight="1">
      <c r="A844" s="321"/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</row>
    <row r="845" ht="12.75" customHeight="1">
      <c r="A845" s="321"/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</row>
    <row r="846" ht="12.75" customHeight="1">
      <c r="A846" s="321"/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</row>
    <row r="847" ht="12.75" customHeight="1">
      <c r="A847" s="321"/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</row>
    <row r="848" ht="12.75" customHeight="1">
      <c r="A848" s="321"/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</row>
    <row r="849" ht="12.75" customHeight="1">
      <c r="A849" s="321"/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</row>
    <row r="850" ht="12.75" customHeight="1">
      <c r="A850" s="321"/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</row>
    <row r="851" ht="12.75" customHeight="1">
      <c r="A851" s="321"/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</row>
    <row r="852" ht="12.75" customHeight="1">
      <c r="A852" s="321"/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</row>
    <row r="853" ht="12.75" customHeight="1">
      <c r="A853" s="321"/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</row>
    <row r="854" ht="12.75" customHeight="1">
      <c r="A854" s="321"/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</row>
    <row r="855" ht="12.75" customHeight="1">
      <c r="A855" s="321"/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</row>
    <row r="856" ht="12.75" customHeight="1">
      <c r="A856" s="321"/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</row>
    <row r="857" ht="12.75" customHeight="1">
      <c r="A857" s="321"/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</row>
    <row r="858" ht="12.75" customHeight="1">
      <c r="A858" s="321"/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</row>
    <row r="859" ht="12.75" customHeight="1">
      <c r="A859" s="321"/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</row>
    <row r="860" ht="12.75" customHeight="1">
      <c r="A860" s="321"/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</row>
    <row r="861" ht="12.75" customHeight="1">
      <c r="A861" s="321"/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</row>
    <row r="862" ht="12.75" customHeight="1">
      <c r="A862" s="321"/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</row>
    <row r="863" ht="12.75" customHeight="1">
      <c r="A863" s="321"/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</row>
    <row r="864" ht="12.75" customHeight="1">
      <c r="A864" s="321"/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</row>
    <row r="865" ht="12.75" customHeight="1">
      <c r="A865" s="321"/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</row>
    <row r="866" ht="12.75" customHeight="1">
      <c r="A866" s="321"/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</row>
    <row r="867" ht="12.75" customHeight="1">
      <c r="A867" s="321"/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</row>
    <row r="868" ht="12.75" customHeight="1">
      <c r="A868" s="321"/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</row>
    <row r="869" ht="12.75" customHeight="1">
      <c r="A869" s="321"/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</row>
    <row r="870" ht="12.75" customHeight="1">
      <c r="A870" s="321"/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</row>
    <row r="871" ht="12.75" customHeight="1">
      <c r="A871" s="321"/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</row>
    <row r="872" ht="12.75" customHeight="1">
      <c r="A872" s="321"/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</row>
    <row r="873" ht="12.75" customHeight="1">
      <c r="A873" s="321"/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</row>
    <row r="874" ht="12.75" customHeight="1">
      <c r="A874" s="321"/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</row>
    <row r="875" ht="12.75" customHeight="1">
      <c r="A875" s="321"/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</row>
    <row r="876" ht="12.75" customHeight="1">
      <c r="A876" s="321"/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</row>
    <row r="877" ht="12.75" customHeight="1">
      <c r="A877" s="321"/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</row>
    <row r="878" ht="12.75" customHeight="1">
      <c r="A878" s="321"/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</row>
    <row r="879" ht="12.75" customHeight="1">
      <c r="A879" s="321"/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</row>
    <row r="880" ht="12.75" customHeight="1">
      <c r="A880" s="321"/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</row>
    <row r="881" ht="12.75" customHeight="1">
      <c r="A881" s="321"/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</row>
    <row r="882" ht="12.75" customHeight="1">
      <c r="A882" s="321"/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</row>
    <row r="883" ht="12.75" customHeight="1">
      <c r="A883" s="321"/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</row>
    <row r="884" ht="12.75" customHeight="1">
      <c r="A884" s="321"/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</row>
    <row r="885" ht="12.75" customHeight="1">
      <c r="A885" s="321"/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</row>
    <row r="886" ht="12.75" customHeight="1">
      <c r="A886" s="321"/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</row>
    <row r="887" ht="12.75" customHeight="1">
      <c r="A887" s="321"/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</row>
    <row r="888" ht="12.75" customHeight="1">
      <c r="A888" s="321"/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</row>
    <row r="889" ht="12.75" customHeight="1">
      <c r="A889" s="321"/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</row>
    <row r="890" ht="12.75" customHeight="1">
      <c r="A890" s="321"/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</row>
    <row r="891" ht="12.75" customHeight="1">
      <c r="A891" s="321"/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</row>
    <row r="892" ht="12.75" customHeight="1">
      <c r="A892" s="321"/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</row>
    <row r="893" ht="12.75" customHeight="1">
      <c r="A893" s="321"/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</row>
    <row r="894" ht="12.75" customHeight="1">
      <c r="A894" s="321"/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</row>
    <row r="895" ht="12.75" customHeight="1">
      <c r="A895" s="321"/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</row>
    <row r="896" ht="12.75" customHeight="1">
      <c r="A896" s="321"/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</row>
    <row r="897" ht="12.75" customHeight="1">
      <c r="A897" s="321"/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</row>
    <row r="898" ht="12.75" customHeight="1">
      <c r="A898" s="321"/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</row>
    <row r="899" ht="12.75" customHeight="1">
      <c r="A899" s="321"/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</row>
    <row r="900" ht="12.75" customHeight="1">
      <c r="A900" s="321"/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</row>
    <row r="901" ht="12.75" customHeight="1">
      <c r="A901" s="321"/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</row>
    <row r="902" ht="12.75" customHeight="1">
      <c r="A902" s="321"/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</row>
    <row r="903" ht="12.75" customHeight="1">
      <c r="A903" s="321"/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</row>
    <row r="904" ht="12.75" customHeight="1">
      <c r="A904" s="321"/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</row>
    <row r="905" ht="12.75" customHeight="1">
      <c r="A905" s="321"/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</row>
    <row r="906" ht="12.75" customHeight="1">
      <c r="A906" s="321"/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</row>
    <row r="907" ht="12.75" customHeight="1">
      <c r="A907" s="321"/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</row>
    <row r="908" ht="12.75" customHeight="1">
      <c r="A908" s="321"/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</row>
    <row r="909" ht="12.75" customHeight="1">
      <c r="A909" s="321"/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</row>
    <row r="910" ht="12.75" customHeight="1">
      <c r="A910" s="321"/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</row>
    <row r="911" ht="12.75" customHeight="1">
      <c r="A911" s="321"/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</row>
    <row r="912" ht="12.75" customHeight="1">
      <c r="A912" s="321"/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</row>
    <row r="913" ht="12.75" customHeight="1">
      <c r="A913" s="321"/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</row>
    <row r="914" ht="12.75" customHeight="1">
      <c r="A914" s="321"/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</row>
    <row r="915" ht="12.75" customHeight="1">
      <c r="A915" s="321"/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</row>
    <row r="916" ht="12.75" customHeight="1">
      <c r="A916" s="321"/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</row>
    <row r="917" ht="12.75" customHeight="1">
      <c r="A917" s="321"/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</row>
    <row r="918" ht="12.75" customHeight="1">
      <c r="A918" s="321"/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</row>
    <row r="919" ht="12.75" customHeight="1">
      <c r="A919" s="321"/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</row>
    <row r="920" ht="12.75" customHeight="1">
      <c r="A920" s="321"/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</row>
    <row r="921" ht="12.75" customHeight="1">
      <c r="A921" s="321"/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</row>
    <row r="922" ht="12.75" customHeight="1">
      <c r="A922" s="321"/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</row>
    <row r="923" ht="12.75" customHeight="1">
      <c r="A923" s="321"/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</row>
    <row r="924" ht="12.75" customHeight="1">
      <c r="A924" s="321"/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</row>
    <row r="925" ht="12.75" customHeight="1">
      <c r="A925" s="321"/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</row>
    <row r="926" ht="12.75" customHeight="1">
      <c r="A926" s="321"/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</row>
    <row r="927" ht="12.75" customHeight="1">
      <c r="A927" s="321"/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</row>
    <row r="928" ht="12.75" customHeight="1">
      <c r="A928" s="321"/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</row>
    <row r="929" ht="12.75" customHeight="1">
      <c r="A929" s="321"/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</row>
    <row r="930" ht="12.75" customHeight="1">
      <c r="A930" s="321"/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</row>
    <row r="931" ht="12.75" customHeight="1">
      <c r="A931" s="321"/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</row>
    <row r="932" ht="12.75" customHeight="1">
      <c r="A932" s="321"/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</row>
    <row r="933" ht="12.75" customHeight="1">
      <c r="A933" s="321"/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</row>
    <row r="934" ht="12.75" customHeight="1">
      <c r="A934" s="321"/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</row>
    <row r="935" ht="12.75" customHeight="1">
      <c r="A935" s="321"/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</row>
    <row r="936" ht="12.75" customHeight="1">
      <c r="A936" s="321"/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</row>
    <row r="937" ht="12.75" customHeight="1">
      <c r="A937" s="321"/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</row>
    <row r="938" ht="12.75" customHeight="1">
      <c r="A938" s="321"/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</row>
    <row r="939" ht="12.75" customHeight="1">
      <c r="A939" s="321"/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</row>
    <row r="940" ht="12.75" customHeight="1">
      <c r="A940" s="321"/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</row>
    <row r="941" ht="12.75" customHeight="1">
      <c r="A941" s="321"/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</row>
    <row r="942" ht="12.75" customHeight="1">
      <c r="A942" s="321"/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</row>
    <row r="943" ht="12.75" customHeight="1">
      <c r="A943" s="321"/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</row>
    <row r="944" ht="12.75" customHeight="1">
      <c r="A944" s="321"/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</row>
    <row r="945" ht="12.75" customHeight="1">
      <c r="A945" s="321"/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</row>
    <row r="946" ht="12.75" customHeight="1">
      <c r="A946" s="321"/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</row>
    <row r="947" ht="12.75" customHeight="1">
      <c r="A947" s="321"/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</row>
    <row r="948" ht="12.75" customHeight="1">
      <c r="A948" s="321"/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</row>
    <row r="949" ht="12.75" customHeight="1">
      <c r="A949" s="321"/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</row>
    <row r="950" ht="12.75" customHeight="1">
      <c r="A950" s="321"/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</row>
    <row r="951" ht="12.75" customHeight="1">
      <c r="A951" s="321"/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</row>
    <row r="952" ht="12.75" customHeight="1">
      <c r="A952" s="321"/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</row>
    <row r="953" ht="12.75" customHeight="1">
      <c r="A953" s="321"/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</row>
    <row r="954" ht="12.75" customHeight="1">
      <c r="A954" s="321"/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</row>
    <row r="955" ht="12.75" customHeight="1">
      <c r="A955" s="321"/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</row>
    <row r="956" ht="12.75" customHeight="1">
      <c r="A956" s="321"/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</row>
    <row r="957" ht="12.75" customHeight="1">
      <c r="A957" s="321"/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</row>
    <row r="958" ht="12.75" customHeight="1">
      <c r="A958" s="321"/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</row>
    <row r="959" ht="12.75" customHeight="1">
      <c r="A959" s="321"/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</row>
    <row r="960" ht="12.75" customHeight="1">
      <c r="A960" s="321"/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</row>
    <row r="961" ht="12.75" customHeight="1">
      <c r="A961" s="321"/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</row>
    <row r="962" ht="12.75" customHeight="1">
      <c r="A962" s="321"/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</row>
    <row r="963" ht="12.75" customHeight="1">
      <c r="A963" s="321"/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</row>
    <row r="964" ht="12.75" customHeight="1">
      <c r="A964" s="321"/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</row>
    <row r="965" ht="12.75" customHeight="1">
      <c r="A965" s="321"/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</row>
    <row r="966" ht="12.75" customHeight="1">
      <c r="A966" s="321"/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</row>
    <row r="967" ht="12.75" customHeight="1">
      <c r="A967" s="321"/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</row>
    <row r="968" ht="12.75" customHeight="1">
      <c r="A968" s="321"/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</row>
    <row r="969" ht="12.75" customHeight="1">
      <c r="A969" s="321"/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</row>
    <row r="970" ht="12.75" customHeight="1">
      <c r="A970" s="321"/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</row>
    <row r="971" ht="12.75" customHeight="1">
      <c r="A971" s="321"/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</row>
    <row r="972" ht="12.75" customHeight="1">
      <c r="A972" s="321"/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</row>
    <row r="973" ht="12.75" customHeight="1">
      <c r="A973" s="321"/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</row>
    <row r="974" ht="12.75" customHeight="1">
      <c r="A974" s="321"/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</row>
    <row r="975" ht="12.75" customHeight="1">
      <c r="A975" s="321"/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</row>
    <row r="976" ht="12.75" customHeight="1">
      <c r="A976" s="321"/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</row>
    <row r="977" ht="12.75" customHeight="1">
      <c r="A977" s="321"/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</row>
    <row r="978" ht="12.75" customHeight="1">
      <c r="A978" s="321"/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</row>
    <row r="979" ht="12.75" customHeight="1">
      <c r="A979" s="321"/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</row>
    <row r="980" ht="12.75" customHeight="1">
      <c r="A980" s="321"/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</row>
    <row r="981" ht="12.75" customHeight="1">
      <c r="A981" s="321"/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</row>
    <row r="982" ht="12.75" customHeight="1">
      <c r="A982" s="321"/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</row>
    <row r="983" ht="12.75" customHeight="1">
      <c r="A983" s="321"/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</row>
    <row r="984" ht="12.75" customHeight="1">
      <c r="A984" s="321"/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</row>
    <row r="985" ht="12.75" customHeight="1">
      <c r="A985" s="321"/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</row>
    <row r="986" ht="12.75" customHeight="1">
      <c r="A986" s="321"/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</row>
    <row r="987" ht="12.75" customHeight="1">
      <c r="A987" s="321"/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N987" s="321"/>
      <c r="O987" s="321"/>
      <c r="P987" s="321"/>
      <c r="Q987" s="321"/>
      <c r="R987" s="321"/>
      <c r="S987" s="321"/>
      <c r="T987" s="321"/>
      <c r="U987" s="321"/>
      <c r="V987" s="321"/>
      <c r="W987" s="321"/>
      <c r="X987" s="321"/>
      <c r="Y987" s="321"/>
      <c r="Z987" s="321"/>
      <c r="AA987" s="321"/>
      <c r="AB987" s="321"/>
    </row>
    <row r="988" ht="12.75" customHeight="1">
      <c r="A988" s="321"/>
      <c r="B988" s="321"/>
      <c r="C988" s="321"/>
      <c r="D988" s="321"/>
      <c r="E988" s="321"/>
      <c r="F988" s="321"/>
      <c r="G988" s="321"/>
      <c r="H988" s="321"/>
      <c r="I988" s="321"/>
      <c r="J988" s="321"/>
      <c r="K988" s="321"/>
      <c r="L988" s="321"/>
      <c r="M988" s="321"/>
      <c r="N988" s="321"/>
      <c r="O988" s="321"/>
      <c r="P988" s="321"/>
      <c r="Q988" s="321"/>
      <c r="R988" s="321"/>
      <c r="S988" s="321"/>
      <c r="T988" s="321"/>
      <c r="U988" s="321"/>
      <c r="V988" s="321"/>
      <c r="W988" s="321"/>
      <c r="X988" s="321"/>
      <c r="Y988" s="321"/>
      <c r="Z988" s="321"/>
      <c r="AA988" s="321"/>
      <c r="AB988" s="321"/>
    </row>
    <row r="989" ht="12.75" customHeight="1">
      <c r="A989" s="321"/>
      <c r="B989" s="321"/>
      <c r="C989" s="321"/>
      <c r="D989" s="321"/>
      <c r="E989" s="321"/>
      <c r="F989" s="321"/>
      <c r="G989" s="321"/>
      <c r="H989" s="321"/>
      <c r="I989" s="321"/>
      <c r="J989" s="321"/>
      <c r="K989" s="321"/>
      <c r="L989" s="321"/>
      <c r="M989" s="321"/>
      <c r="N989" s="321"/>
      <c r="O989" s="321"/>
      <c r="P989" s="321"/>
      <c r="Q989" s="321"/>
      <c r="R989" s="321"/>
      <c r="S989" s="321"/>
      <c r="T989" s="321"/>
      <c r="U989" s="321"/>
      <c r="V989" s="321"/>
      <c r="W989" s="321"/>
      <c r="X989" s="321"/>
      <c r="Y989" s="321"/>
      <c r="Z989" s="321"/>
      <c r="AA989" s="321"/>
      <c r="AB989" s="321"/>
    </row>
    <row r="990" ht="12.75" customHeight="1">
      <c r="A990" s="321"/>
      <c r="B990" s="321"/>
      <c r="C990" s="321"/>
      <c r="D990" s="321"/>
      <c r="E990" s="321"/>
      <c r="F990" s="321"/>
      <c r="G990" s="321"/>
      <c r="H990" s="321"/>
      <c r="I990" s="321"/>
      <c r="J990" s="321"/>
      <c r="K990" s="321"/>
      <c r="L990" s="321"/>
      <c r="M990" s="321"/>
      <c r="N990" s="321"/>
      <c r="O990" s="321"/>
      <c r="P990" s="321"/>
      <c r="Q990" s="321"/>
      <c r="R990" s="321"/>
      <c r="S990" s="321"/>
      <c r="T990" s="321"/>
      <c r="U990" s="321"/>
      <c r="V990" s="321"/>
      <c r="W990" s="321"/>
      <c r="X990" s="321"/>
      <c r="Y990" s="321"/>
      <c r="Z990" s="321"/>
      <c r="AA990" s="321"/>
      <c r="AB990" s="321"/>
    </row>
    <row r="991" ht="12.75" customHeight="1">
      <c r="A991" s="321"/>
      <c r="B991" s="321"/>
      <c r="C991" s="321"/>
      <c r="D991" s="321"/>
      <c r="E991" s="321"/>
      <c r="F991" s="321"/>
      <c r="G991" s="321"/>
      <c r="H991" s="321"/>
      <c r="I991" s="321"/>
      <c r="J991" s="321"/>
      <c r="K991" s="321"/>
      <c r="L991" s="321"/>
      <c r="M991" s="321"/>
      <c r="N991" s="321"/>
      <c r="O991" s="321"/>
      <c r="P991" s="321"/>
      <c r="Q991" s="321"/>
      <c r="R991" s="321"/>
      <c r="S991" s="321"/>
      <c r="T991" s="321"/>
      <c r="U991" s="321"/>
      <c r="V991" s="321"/>
      <c r="W991" s="321"/>
      <c r="X991" s="321"/>
      <c r="Y991" s="321"/>
      <c r="Z991" s="321"/>
      <c r="AA991" s="321"/>
      <c r="AB991" s="321"/>
    </row>
    <row r="992" ht="12.75" customHeight="1">
      <c r="A992" s="321"/>
      <c r="B992" s="321"/>
      <c r="C992" s="321"/>
      <c r="D992" s="321"/>
      <c r="E992" s="321"/>
      <c r="F992" s="321"/>
      <c r="G992" s="321"/>
      <c r="H992" s="321"/>
      <c r="I992" s="321"/>
      <c r="J992" s="321"/>
      <c r="K992" s="321"/>
      <c r="L992" s="321"/>
      <c r="M992" s="321"/>
      <c r="N992" s="321"/>
      <c r="O992" s="321"/>
      <c r="P992" s="321"/>
      <c r="Q992" s="321"/>
      <c r="R992" s="321"/>
      <c r="S992" s="321"/>
      <c r="T992" s="321"/>
      <c r="U992" s="321"/>
      <c r="V992" s="321"/>
      <c r="W992" s="321"/>
      <c r="X992" s="321"/>
      <c r="Y992" s="321"/>
      <c r="Z992" s="321"/>
      <c r="AA992" s="321"/>
      <c r="AB992" s="321"/>
    </row>
    <row r="993" ht="12.75" customHeight="1">
      <c r="A993" s="321"/>
      <c r="B993" s="321"/>
      <c r="C993" s="321"/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  <c r="N993" s="321"/>
      <c r="O993" s="321"/>
      <c r="P993" s="321"/>
      <c r="Q993" s="321"/>
      <c r="R993" s="321"/>
      <c r="S993" s="321"/>
      <c r="T993" s="321"/>
      <c r="U993" s="321"/>
      <c r="V993" s="321"/>
      <c r="W993" s="321"/>
      <c r="X993" s="321"/>
      <c r="Y993" s="321"/>
      <c r="Z993" s="321"/>
      <c r="AA993" s="321"/>
      <c r="AB993" s="321"/>
    </row>
    <row r="994" ht="12.75" customHeight="1">
      <c r="A994" s="321"/>
      <c r="B994" s="321"/>
      <c r="C994" s="321"/>
      <c r="D994" s="321"/>
      <c r="E994" s="321"/>
      <c r="F994" s="321"/>
      <c r="G994" s="321"/>
      <c r="H994" s="321"/>
      <c r="I994" s="321"/>
      <c r="J994" s="321"/>
      <c r="K994" s="321"/>
      <c r="L994" s="321"/>
      <c r="M994" s="321"/>
      <c r="N994" s="321"/>
      <c r="O994" s="321"/>
      <c r="P994" s="321"/>
      <c r="Q994" s="321"/>
      <c r="R994" s="321"/>
      <c r="S994" s="321"/>
      <c r="T994" s="321"/>
      <c r="U994" s="321"/>
      <c r="V994" s="321"/>
      <c r="W994" s="321"/>
      <c r="X994" s="321"/>
      <c r="Y994" s="321"/>
      <c r="Z994" s="321"/>
      <c r="AA994" s="321"/>
      <c r="AB994" s="321"/>
    </row>
    <row r="995" ht="12.75" customHeight="1">
      <c r="A995" s="321"/>
      <c r="B995" s="321"/>
      <c r="C995" s="321"/>
      <c r="D995" s="321"/>
      <c r="E995" s="321"/>
      <c r="F995" s="321"/>
      <c r="G995" s="321"/>
      <c r="H995" s="321"/>
      <c r="I995" s="321"/>
      <c r="J995" s="321"/>
      <c r="K995" s="321"/>
      <c r="L995" s="321"/>
      <c r="M995" s="321"/>
      <c r="N995" s="321"/>
      <c r="O995" s="321"/>
      <c r="P995" s="321"/>
      <c r="Q995" s="321"/>
      <c r="R995" s="321"/>
      <c r="S995" s="321"/>
      <c r="T995" s="321"/>
      <c r="U995" s="321"/>
      <c r="V995" s="321"/>
      <c r="W995" s="321"/>
      <c r="X995" s="321"/>
      <c r="Y995" s="321"/>
      <c r="Z995" s="321"/>
      <c r="AA995" s="321"/>
      <c r="AB995" s="321"/>
    </row>
    <row r="996" ht="12.75" customHeight="1">
      <c r="A996" s="321"/>
      <c r="B996" s="321"/>
      <c r="C996" s="321"/>
      <c r="D996" s="321"/>
      <c r="E996" s="321"/>
      <c r="F996" s="321"/>
      <c r="G996" s="321"/>
      <c r="H996" s="321"/>
      <c r="I996" s="321"/>
      <c r="J996" s="321"/>
      <c r="K996" s="321"/>
      <c r="L996" s="321"/>
      <c r="M996" s="321"/>
      <c r="N996" s="321"/>
      <c r="O996" s="321"/>
      <c r="P996" s="321"/>
      <c r="Q996" s="321"/>
      <c r="R996" s="321"/>
      <c r="S996" s="321"/>
      <c r="T996" s="321"/>
      <c r="U996" s="321"/>
      <c r="V996" s="321"/>
      <c r="W996" s="321"/>
      <c r="X996" s="321"/>
      <c r="Y996" s="321"/>
      <c r="Z996" s="321"/>
      <c r="AA996" s="321"/>
      <c r="AB996" s="321"/>
    </row>
    <row r="997" ht="12.75" customHeight="1">
      <c r="A997" s="321"/>
      <c r="B997" s="321"/>
      <c r="C997" s="321"/>
      <c r="D997" s="321"/>
      <c r="E997" s="321"/>
      <c r="F997" s="321"/>
      <c r="G997" s="321"/>
      <c r="H997" s="321"/>
      <c r="I997" s="321"/>
      <c r="J997" s="321"/>
      <c r="K997" s="321"/>
      <c r="L997" s="321"/>
      <c r="M997" s="321"/>
      <c r="N997" s="321"/>
      <c r="O997" s="321"/>
      <c r="P997" s="321"/>
      <c r="Q997" s="321"/>
      <c r="R997" s="321"/>
      <c r="S997" s="321"/>
      <c r="T997" s="321"/>
      <c r="U997" s="321"/>
      <c r="V997" s="321"/>
      <c r="W997" s="321"/>
      <c r="X997" s="321"/>
      <c r="Y997" s="321"/>
      <c r="Z997" s="321"/>
      <c r="AA997" s="321"/>
      <c r="AB997" s="321"/>
    </row>
    <row r="998" ht="12.75" customHeight="1">
      <c r="A998" s="321"/>
      <c r="B998" s="321"/>
      <c r="C998" s="321"/>
      <c r="D998" s="321"/>
      <c r="E998" s="321"/>
      <c r="F998" s="321"/>
      <c r="G998" s="321"/>
      <c r="H998" s="321"/>
      <c r="I998" s="321"/>
      <c r="J998" s="321"/>
      <c r="K998" s="321"/>
      <c r="L998" s="321"/>
      <c r="M998" s="321"/>
      <c r="N998" s="321"/>
      <c r="O998" s="321"/>
      <c r="P998" s="321"/>
      <c r="Q998" s="321"/>
      <c r="R998" s="321"/>
      <c r="S998" s="321"/>
      <c r="T998" s="321"/>
      <c r="U998" s="321"/>
      <c r="V998" s="321"/>
      <c r="W998" s="321"/>
      <c r="X998" s="321"/>
      <c r="Y998" s="321"/>
      <c r="Z998" s="321"/>
      <c r="AA998" s="321"/>
      <c r="AB998" s="321"/>
    </row>
    <row r="999" ht="12.75" customHeight="1">
      <c r="A999" s="321"/>
      <c r="B999" s="321"/>
      <c r="C999" s="321"/>
      <c r="D999" s="321"/>
      <c r="E999" s="321"/>
      <c r="F999" s="321"/>
      <c r="G999" s="321"/>
      <c r="H999" s="321"/>
      <c r="I999" s="321"/>
      <c r="J999" s="321"/>
      <c r="K999" s="321"/>
      <c r="L999" s="321"/>
      <c r="M999" s="321"/>
      <c r="N999" s="321"/>
      <c r="O999" s="321"/>
      <c r="P999" s="321"/>
      <c r="Q999" s="321"/>
      <c r="R999" s="321"/>
      <c r="S999" s="321"/>
      <c r="T999" s="321"/>
      <c r="U999" s="321"/>
      <c r="V999" s="321"/>
      <c r="W999" s="321"/>
      <c r="X999" s="321"/>
      <c r="Y999" s="321"/>
      <c r="Z999" s="321"/>
      <c r="AA999" s="321"/>
      <c r="AB999" s="321"/>
    </row>
    <row r="1000" ht="12.75" customHeight="1">
      <c r="A1000" s="321"/>
      <c r="B1000" s="321"/>
      <c r="C1000" s="321"/>
      <c r="D1000" s="321"/>
      <c r="E1000" s="321"/>
      <c r="F1000" s="321"/>
      <c r="G1000" s="321"/>
      <c r="H1000" s="321"/>
      <c r="I1000" s="321"/>
      <c r="J1000" s="321"/>
      <c r="K1000" s="321"/>
      <c r="L1000" s="321"/>
      <c r="M1000" s="321"/>
      <c r="N1000" s="321"/>
      <c r="O1000" s="321"/>
      <c r="P1000" s="321"/>
      <c r="Q1000" s="321"/>
      <c r="R1000" s="321"/>
      <c r="S1000" s="321"/>
      <c r="T1000" s="321"/>
      <c r="U1000" s="321"/>
      <c r="V1000" s="321"/>
      <c r="W1000" s="321"/>
      <c r="X1000" s="321"/>
      <c r="Y1000" s="321"/>
      <c r="Z1000" s="321"/>
      <c r="AA1000" s="321"/>
      <c r="AB1000" s="321"/>
    </row>
  </sheetData>
  <autoFilter ref="$Q$1:$U$77"/>
  <mergeCells count="4">
    <mergeCell ref="J7:K7"/>
    <mergeCell ref="L7:M7"/>
    <mergeCell ref="N7:O7"/>
    <mergeCell ref="H8:I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14.29"/>
    <col customWidth="1" min="4" max="4" width="11.71"/>
    <col customWidth="1" min="5" max="9" width="8.71"/>
    <col customWidth="1" min="10" max="10" width="14.29"/>
    <col customWidth="1" min="11" max="11" width="11.71"/>
    <col customWidth="1" min="12" max="16" width="8.71"/>
    <col customWidth="1" min="17" max="17" width="11.43"/>
    <col customWidth="1" min="18" max="24" width="8.71"/>
    <col customWidth="1" min="25" max="25" width="11.29"/>
    <col customWidth="1" min="26" max="26" width="8.43"/>
  </cols>
  <sheetData>
    <row r="1">
      <c r="A1" s="1"/>
      <c r="B1" s="1"/>
      <c r="C1" s="1"/>
      <c r="D1" s="1"/>
      <c r="E1" s="356" t="s">
        <v>12</v>
      </c>
      <c r="F1" s="144"/>
      <c r="G1" s="145"/>
      <c r="H1" s="1"/>
      <c r="I1" s="1"/>
      <c r="J1" s="1"/>
      <c r="K1" s="1"/>
      <c r="L1" s="356" t="s">
        <v>245</v>
      </c>
      <c r="M1" s="144"/>
      <c r="N1" s="145"/>
      <c r="O1" s="1"/>
      <c r="P1" s="1"/>
      <c r="Q1" s="1"/>
      <c r="R1" s="1" t="str">
        <f>Formulas!D17</f>
        <v>#N/A</v>
      </c>
      <c r="S1" s="1"/>
      <c r="T1" s="1"/>
      <c r="U1" s="1"/>
      <c r="V1" s="1"/>
      <c r="W1" s="1"/>
      <c r="X1" s="1"/>
      <c r="Y1" s="1" t="s">
        <v>12</v>
      </c>
      <c r="Z1" s="1" t="s">
        <v>245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57" t="str">
        <f>Formulas!C24</f>
        <v>#N/A</v>
      </c>
      <c r="S2" s="1"/>
      <c r="T2" s="1"/>
      <c r="U2" s="358" t="s">
        <v>213</v>
      </c>
      <c r="V2" s="359"/>
      <c r="W2" s="1"/>
      <c r="X2" s="1"/>
      <c r="Y2" s="360" t="str">
        <f>IF(AND(R3="No Deviation",R1="Salaried"),LOOKUP(R2,$Q$10:$R$16,$S$10:$S$16),IF(R3&lt;&gt;"No Deviation",VLOOKUP(R3,$U$3:$V$5,2,0),""))</f>
        <v>#N/A</v>
      </c>
      <c r="Z2" s="360" t="str">
        <f>IF(AND(R3="No Deviation",R1&lt;&gt;"Salaried"),LOOKUP(R2,$U$10:$V$16,$W$10:$W$16),IF(R3&lt;&gt;"No Deviation",VLOOKUP(R3,$U$3:$V$5,2,0),""))</f>
        <v>#N/A</v>
      </c>
    </row>
    <row r="3">
      <c r="A3" s="1"/>
      <c r="B3" s="1"/>
      <c r="C3" s="1"/>
      <c r="D3" s="361"/>
      <c r="E3" s="362" t="s">
        <v>246</v>
      </c>
      <c r="F3" s="362" t="s">
        <v>247</v>
      </c>
      <c r="G3" s="363" t="s">
        <v>248</v>
      </c>
      <c r="H3" s="1"/>
      <c r="I3" s="1"/>
      <c r="J3" s="1"/>
      <c r="K3" s="361"/>
      <c r="L3" s="362" t="s">
        <v>246</v>
      </c>
      <c r="M3" s="362" t="s">
        <v>247</v>
      </c>
      <c r="N3" s="363" t="s">
        <v>248</v>
      </c>
      <c r="O3" s="1"/>
      <c r="P3" s="1"/>
      <c r="Q3" s="1"/>
      <c r="R3" s="1" t="str">
        <f>Formulas!D23</f>
        <v>#N/A</v>
      </c>
      <c r="S3" s="1"/>
      <c r="T3" s="1"/>
      <c r="U3" s="359" t="s">
        <v>210</v>
      </c>
      <c r="V3" s="359">
        <v>8.0</v>
      </c>
      <c r="W3" s="1"/>
      <c r="X3" s="1"/>
      <c r="Y3" s="1"/>
      <c r="Z3" s="1"/>
    </row>
    <row r="4">
      <c r="A4" s="1"/>
      <c r="B4" s="1"/>
      <c r="C4" s="1"/>
      <c r="D4" s="364" t="s">
        <v>12</v>
      </c>
      <c r="E4" s="365">
        <v>0.15</v>
      </c>
      <c r="F4" s="366">
        <v>100.0</v>
      </c>
      <c r="G4" s="367">
        <f>F4</f>
        <v>100</v>
      </c>
      <c r="H4" s="1"/>
      <c r="I4" s="1"/>
      <c r="J4" s="1"/>
      <c r="K4" s="364" t="s">
        <v>245</v>
      </c>
      <c r="L4" s="365">
        <v>0.15</v>
      </c>
      <c r="M4" s="366">
        <v>40.0</v>
      </c>
      <c r="N4" s="367">
        <f>M4</f>
        <v>40</v>
      </c>
      <c r="O4" s="1"/>
      <c r="P4" s="1"/>
      <c r="Q4" s="1" t="s">
        <v>249</v>
      </c>
      <c r="R4" s="1" t="str">
        <f>IF(R1="Salaried",Y2,Z2)</f>
        <v>#N/A</v>
      </c>
      <c r="S4" s="1"/>
      <c r="T4" s="1"/>
      <c r="U4" s="359" t="s">
        <v>216</v>
      </c>
      <c r="V4" s="359">
        <v>7.0</v>
      </c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>
        <v>15.0</v>
      </c>
      <c r="H5" s="1"/>
      <c r="I5" s="1"/>
      <c r="J5" s="1"/>
      <c r="K5" s="1"/>
      <c r="L5" s="1"/>
      <c r="M5" s="1"/>
      <c r="N5" s="1"/>
      <c r="O5" s="1"/>
      <c r="P5" s="1"/>
      <c r="Q5" s="1" t="s">
        <v>250</v>
      </c>
      <c r="R5" s="1">
        <f>IF(Formulas!AB1="NA",A_Score!R4,Formulas!AB1)</f>
        <v>10</v>
      </c>
      <c r="S5" s="1"/>
      <c r="T5" s="1"/>
      <c r="U5" s="359" t="s">
        <v>218</v>
      </c>
      <c r="V5" s="359">
        <v>9.0</v>
      </c>
      <c r="W5" s="1"/>
      <c r="X5" s="1"/>
      <c r="Y5" s="1"/>
      <c r="Z5" s="1"/>
    </row>
    <row r="6">
      <c r="A6" s="1"/>
      <c r="B6" s="1"/>
      <c r="C6" s="1"/>
      <c r="D6" s="361" t="s">
        <v>251</v>
      </c>
      <c r="E6" s="362"/>
      <c r="F6" s="362"/>
      <c r="G6" s="368"/>
      <c r="H6" s="1"/>
      <c r="I6" s="1"/>
      <c r="J6" s="1"/>
      <c r="K6" s="1" t="s">
        <v>251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369" t="s">
        <v>224</v>
      </c>
      <c r="E7" s="370">
        <v>0.15</v>
      </c>
      <c r="F7" s="371">
        <v>100.0</v>
      </c>
      <c r="G7" s="372">
        <f t="shared" ref="G7:G8" si="1">F7</f>
        <v>100</v>
      </c>
      <c r="H7" s="1"/>
      <c r="I7" s="1"/>
      <c r="J7" s="1"/>
      <c r="K7" s="361" t="s">
        <v>224</v>
      </c>
      <c r="L7" s="373"/>
      <c r="M7" s="374"/>
      <c r="N7" s="36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364" t="s">
        <v>225</v>
      </c>
      <c r="E8" s="365">
        <v>0.15</v>
      </c>
      <c r="F8" s="375">
        <v>75.0</v>
      </c>
      <c r="G8" s="367">
        <f t="shared" si="1"/>
        <v>75</v>
      </c>
      <c r="H8" s="1"/>
      <c r="I8" s="1"/>
      <c r="J8" s="1"/>
      <c r="K8" s="364" t="s">
        <v>225</v>
      </c>
      <c r="L8" s="365"/>
      <c r="M8" s="375"/>
      <c r="N8" s="367"/>
      <c r="O8" s="1"/>
      <c r="P8" s="1"/>
      <c r="Q8" s="376" t="s">
        <v>12</v>
      </c>
      <c r="R8" s="377"/>
      <c r="S8" s="17"/>
      <c r="T8" s="378"/>
      <c r="U8" s="376" t="s">
        <v>11</v>
      </c>
      <c r="V8" s="377"/>
      <c r="W8" s="17"/>
      <c r="X8" s="1"/>
      <c r="Y8" s="1"/>
      <c r="Z8" s="1"/>
    </row>
    <row r="9">
      <c r="A9" s="1"/>
      <c r="B9" s="1"/>
      <c r="C9" s="1"/>
      <c r="D9" s="1"/>
      <c r="E9" s="1"/>
      <c r="F9" s="1"/>
      <c r="G9" s="1">
        <f>MAX(G7:G8)</f>
        <v>100</v>
      </c>
      <c r="H9" s="1"/>
      <c r="I9" s="1"/>
      <c r="J9" s="1"/>
      <c r="K9" s="1"/>
      <c r="L9" s="1"/>
      <c r="M9" s="1"/>
      <c r="N9" s="1"/>
      <c r="O9" s="1"/>
      <c r="P9" s="1"/>
      <c r="Q9" s="376" t="s">
        <v>252</v>
      </c>
      <c r="R9" s="17"/>
      <c r="S9" s="379" t="s">
        <v>253</v>
      </c>
      <c r="T9" s="378"/>
      <c r="U9" s="376" t="s">
        <v>252</v>
      </c>
      <c r="V9" s="17"/>
      <c r="W9" s="379" t="s">
        <v>253</v>
      </c>
      <c r="X9" s="1"/>
      <c r="Y9" s="1"/>
      <c r="Z9" s="1"/>
    </row>
    <row r="10">
      <c r="A10" s="1"/>
      <c r="B10" s="1"/>
      <c r="C10" s="1"/>
      <c r="D10" s="361" t="s">
        <v>120</v>
      </c>
      <c r="E10" s="362"/>
      <c r="F10" s="362"/>
      <c r="G10" s="368"/>
      <c r="H10" s="1"/>
      <c r="I10" s="1"/>
      <c r="J10" s="1"/>
      <c r="K10" s="1" t="s">
        <v>120</v>
      </c>
      <c r="L10" s="1"/>
      <c r="M10" s="1"/>
      <c r="N10" s="1"/>
      <c r="O10" s="1"/>
      <c r="P10" s="1"/>
      <c r="Q10" s="380">
        <v>0.0</v>
      </c>
      <c r="R10" s="380">
        <v>329.0</v>
      </c>
      <c r="S10" s="381" t="s">
        <v>254</v>
      </c>
      <c r="T10" s="382"/>
      <c r="U10" s="380">
        <v>0.0</v>
      </c>
      <c r="V10" s="380">
        <v>259.0</v>
      </c>
      <c r="W10" s="381" t="s">
        <v>254</v>
      </c>
      <c r="X10" s="1"/>
      <c r="Y10" s="1"/>
      <c r="Z10" s="1"/>
    </row>
    <row r="11">
      <c r="A11" s="1"/>
      <c r="B11" s="1"/>
      <c r="C11" s="1"/>
      <c r="D11" s="369" t="s">
        <v>196</v>
      </c>
      <c r="E11" s="370">
        <v>0.2</v>
      </c>
      <c r="F11" s="371">
        <v>40.0</v>
      </c>
      <c r="G11" s="372">
        <f t="shared" ref="G11:G12" si="2">F11</f>
        <v>40</v>
      </c>
      <c r="H11" s="1"/>
      <c r="I11" s="1"/>
      <c r="J11" s="1"/>
      <c r="K11" s="361" t="s">
        <v>196</v>
      </c>
      <c r="L11" s="373">
        <v>0.25</v>
      </c>
      <c r="M11" s="374">
        <v>40.0</v>
      </c>
      <c r="N11" s="363">
        <f t="shared" ref="N11:N12" si="3">M11</f>
        <v>40</v>
      </c>
      <c r="O11" s="1"/>
      <c r="P11" s="1"/>
      <c r="Q11" s="380">
        <f t="shared" ref="Q11:Q16" si="4">R10+1</f>
        <v>330</v>
      </c>
      <c r="R11" s="380">
        <v>400.0</v>
      </c>
      <c r="S11" s="383">
        <v>6.0</v>
      </c>
      <c r="T11" s="384"/>
      <c r="U11" s="380">
        <f t="shared" ref="U11:U16" si="5">V10+1</f>
        <v>260</v>
      </c>
      <c r="V11" s="380">
        <v>400.0</v>
      </c>
      <c r="W11" s="383">
        <v>6.0</v>
      </c>
      <c r="X11" s="1"/>
      <c r="Y11" s="1"/>
      <c r="Z11" s="1"/>
    </row>
    <row r="12">
      <c r="A12" s="1"/>
      <c r="B12" s="1"/>
      <c r="C12" s="1"/>
      <c r="D12" s="364" t="s">
        <v>255</v>
      </c>
      <c r="E12" s="365">
        <v>0.2</v>
      </c>
      <c r="F12" s="375">
        <v>100.0</v>
      </c>
      <c r="G12" s="367">
        <f t="shared" si="2"/>
        <v>100</v>
      </c>
      <c r="H12" s="1"/>
      <c r="I12" s="1"/>
      <c r="J12" s="1"/>
      <c r="K12" s="364" t="s">
        <v>255</v>
      </c>
      <c r="L12" s="365">
        <v>0.25</v>
      </c>
      <c r="M12" s="375">
        <v>100.0</v>
      </c>
      <c r="N12" s="367">
        <f t="shared" si="3"/>
        <v>100</v>
      </c>
      <c r="O12" s="1"/>
      <c r="P12" s="1"/>
      <c r="Q12" s="380">
        <f t="shared" si="4"/>
        <v>401</v>
      </c>
      <c r="R12" s="380">
        <f>R11+60</f>
        <v>460</v>
      </c>
      <c r="S12" s="383">
        <v>5.0</v>
      </c>
      <c r="T12" s="384"/>
      <c r="U12" s="380">
        <f t="shared" si="5"/>
        <v>401</v>
      </c>
      <c r="V12" s="380">
        <f>V11+60</f>
        <v>460</v>
      </c>
      <c r="W12" s="383">
        <v>5.0</v>
      </c>
      <c r="X12" s="1"/>
      <c r="Y12" s="1"/>
      <c r="Z12" s="1"/>
    </row>
    <row r="13">
      <c r="A13" s="1"/>
      <c r="B13" s="1"/>
      <c r="C13" s="1"/>
      <c r="D13" s="1"/>
      <c r="E13" s="1"/>
      <c r="F13" s="1"/>
      <c r="G13" s="1">
        <f>MAX(G11:G12)</f>
        <v>100</v>
      </c>
      <c r="H13" s="1"/>
      <c r="I13" s="1"/>
      <c r="J13" s="1"/>
      <c r="K13" s="1"/>
      <c r="L13" s="1"/>
      <c r="M13" s="1"/>
      <c r="N13" s="1"/>
      <c r="O13" s="1"/>
      <c r="P13" s="1"/>
      <c r="Q13" s="380">
        <f t="shared" si="4"/>
        <v>461</v>
      </c>
      <c r="R13" s="380">
        <f t="shared" ref="R13:R14" si="6">R12+65</f>
        <v>525</v>
      </c>
      <c r="S13" s="383">
        <v>4.0</v>
      </c>
      <c r="T13" s="384"/>
      <c r="U13" s="380">
        <f t="shared" si="5"/>
        <v>461</v>
      </c>
      <c r="V13" s="380">
        <f t="shared" ref="V13:V14" si="7">V12+65</f>
        <v>525</v>
      </c>
      <c r="W13" s="383">
        <v>4.0</v>
      </c>
      <c r="X13" s="1"/>
      <c r="Y13" s="1"/>
      <c r="Z13" s="1"/>
    </row>
    <row r="14">
      <c r="A14" s="1"/>
      <c r="B14" s="385"/>
      <c r="C14" s="386"/>
      <c r="D14" s="362" t="s">
        <v>227</v>
      </c>
      <c r="E14" s="362"/>
      <c r="F14" s="362"/>
      <c r="G14" s="368"/>
      <c r="H14" s="1"/>
      <c r="I14" s="387"/>
      <c r="J14" s="388"/>
      <c r="K14" s="362" t="s">
        <v>227</v>
      </c>
      <c r="L14" s="362"/>
      <c r="M14" s="362"/>
      <c r="N14" s="368"/>
      <c r="O14" s="1"/>
      <c r="P14" s="1"/>
      <c r="Q14" s="380">
        <f t="shared" si="4"/>
        <v>526</v>
      </c>
      <c r="R14" s="380">
        <f t="shared" si="6"/>
        <v>590</v>
      </c>
      <c r="S14" s="383">
        <v>3.0</v>
      </c>
      <c r="T14" s="384"/>
      <c r="U14" s="380">
        <f t="shared" si="5"/>
        <v>526</v>
      </c>
      <c r="V14" s="380">
        <f t="shared" si="7"/>
        <v>590</v>
      </c>
      <c r="W14" s="383">
        <v>3.0</v>
      </c>
      <c r="X14" s="1"/>
      <c r="Y14" s="1"/>
      <c r="Z14" s="1"/>
    </row>
    <row r="15">
      <c r="A15" s="1"/>
      <c r="B15" s="389">
        <v>0.0</v>
      </c>
      <c r="C15" s="390">
        <v>19999.0</v>
      </c>
      <c r="D15" s="1" t="s">
        <v>256</v>
      </c>
      <c r="E15" s="370">
        <v>0.0</v>
      </c>
      <c r="F15" s="371">
        <v>0.0</v>
      </c>
      <c r="G15" s="372">
        <v>0.0</v>
      </c>
      <c r="H15" s="1"/>
      <c r="I15" s="389">
        <v>0.0</v>
      </c>
      <c r="J15" s="390">
        <v>39999.0</v>
      </c>
      <c r="K15" s="1" t="s">
        <v>257</v>
      </c>
      <c r="L15" s="370">
        <v>0.0</v>
      </c>
      <c r="M15" s="371">
        <v>0.0</v>
      </c>
      <c r="N15" s="372">
        <f t="shared" ref="N15:N19" si="8">M15</f>
        <v>0</v>
      </c>
      <c r="O15" s="1"/>
      <c r="P15" s="1"/>
      <c r="Q15" s="380">
        <f t="shared" si="4"/>
        <v>591</v>
      </c>
      <c r="R15" s="380">
        <f>R14+50</f>
        <v>640</v>
      </c>
      <c r="S15" s="383">
        <v>2.0</v>
      </c>
      <c r="T15" s="384"/>
      <c r="U15" s="380">
        <f t="shared" si="5"/>
        <v>591</v>
      </c>
      <c r="V15" s="380">
        <f>V14+50</f>
        <v>640</v>
      </c>
      <c r="W15" s="383">
        <v>2.0</v>
      </c>
      <c r="X15" s="1"/>
      <c r="Y15" s="1"/>
      <c r="Z15" s="1"/>
    </row>
    <row r="16">
      <c r="A16" s="1"/>
      <c r="B16" s="389">
        <f t="shared" ref="B16:B18" si="9">C15+1</f>
        <v>20000</v>
      </c>
      <c r="C16" s="390">
        <v>50000.0</v>
      </c>
      <c r="D16" s="1" t="s">
        <v>258</v>
      </c>
      <c r="E16" s="370">
        <v>0.2</v>
      </c>
      <c r="F16" s="371">
        <v>40.0</v>
      </c>
      <c r="G16" s="372">
        <f t="shared" ref="G16:G18" si="10">F16</f>
        <v>40</v>
      </c>
      <c r="H16" s="1"/>
      <c r="I16" s="389">
        <v>40000.0</v>
      </c>
      <c r="J16" s="390">
        <v>65000.0</v>
      </c>
      <c r="K16" s="1" t="s">
        <v>259</v>
      </c>
      <c r="L16" s="370">
        <v>0.2</v>
      </c>
      <c r="M16" s="371">
        <v>30.0</v>
      </c>
      <c r="N16" s="372">
        <f t="shared" si="8"/>
        <v>30</v>
      </c>
      <c r="O16" s="1"/>
      <c r="P16" s="1"/>
      <c r="Q16" s="380">
        <f t="shared" si="4"/>
        <v>641</v>
      </c>
      <c r="R16" s="380">
        <v>700000.0</v>
      </c>
      <c r="S16" s="383">
        <v>1.0</v>
      </c>
      <c r="T16" s="384"/>
      <c r="U16" s="380">
        <f t="shared" si="5"/>
        <v>641</v>
      </c>
      <c r="V16" s="380">
        <v>700000.0</v>
      </c>
      <c r="W16" s="383">
        <v>1.0</v>
      </c>
      <c r="X16" s="1"/>
      <c r="Y16" s="1"/>
      <c r="Z16" s="1"/>
    </row>
    <row r="17">
      <c r="A17" s="1"/>
      <c r="B17" s="389">
        <f t="shared" si="9"/>
        <v>50001</v>
      </c>
      <c r="C17" s="390">
        <v>100000.0</v>
      </c>
      <c r="D17" s="1" t="s">
        <v>260</v>
      </c>
      <c r="E17" s="370">
        <v>0.2</v>
      </c>
      <c r="F17" s="371">
        <v>75.0</v>
      </c>
      <c r="G17" s="372">
        <f t="shared" si="10"/>
        <v>75</v>
      </c>
      <c r="H17" s="1"/>
      <c r="I17" s="389">
        <v>65001.0</v>
      </c>
      <c r="J17" s="390">
        <v>100000.0</v>
      </c>
      <c r="K17" s="1" t="s">
        <v>261</v>
      </c>
      <c r="L17" s="370">
        <v>0.2</v>
      </c>
      <c r="M17" s="371">
        <v>60.0</v>
      </c>
      <c r="N17" s="372">
        <f t="shared" si="8"/>
        <v>60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91">
        <f t="shared" si="9"/>
        <v>100001</v>
      </c>
      <c r="C18" s="392">
        <v>9.0E9</v>
      </c>
      <c r="D18" s="366" t="s">
        <v>262</v>
      </c>
      <c r="E18" s="365">
        <v>0.2</v>
      </c>
      <c r="F18" s="375">
        <v>100.0</v>
      </c>
      <c r="G18" s="367">
        <f t="shared" si="10"/>
        <v>100</v>
      </c>
      <c r="H18" s="1"/>
      <c r="I18" s="389">
        <v>100001.0</v>
      </c>
      <c r="J18" s="390">
        <v>200000.0</v>
      </c>
      <c r="K18" s="1" t="s">
        <v>263</v>
      </c>
      <c r="L18" s="370">
        <v>0.2</v>
      </c>
      <c r="M18" s="371">
        <v>75.0</v>
      </c>
      <c r="N18" s="372">
        <f t="shared" si="8"/>
        <v>75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>
        <f>MAX(G15:G18)</f>
        <v>100</v>
      </c>
      <c r="H19" s="1"/>
      <c r="I19" s="391">
        <v>200001.0</v>
      </c>
      <c r="J19" s="392">
        <v>9.0E9</v>
      </c>
      <c r="K19" s="366" t="s">
        <v>264</v>
      </c>
      <c r="L19" s="365">
        <v>0.2</v>
      </c>
      <c r="M19" s="375">
        <v>100.0</v>
      </c>
      <c r="N19" s="367">
        <f t="shared" si="8"/>
        <v>100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61"/>
      <c r="C21" s="362"/>
      <c r="D21" s="362" t="s">
        <v>265</v>
      </c>
      <c r="E21" s="362"/>
      <c r="F21" s="362"/>
      <c r="G21" s="368"/>
      <c r="H21" s="1"/>
      <c r="I21" s="361"/>
      <c r="J21" s="362"/>
      <c r="K21" s="362" t="s">
        <v>265</v>
      </c>
      <c r="L21" s="362"/>
      <c r="M21" s="362"/>
      <c r="N21" s="36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93">
        <v>0.0</v>
      </c>
      <c r="C22" s="394">
        <v>0.2</v>
      </c>
      <c r="D22" s="1" t="s">
        <v>266</v>
      </c>
      <c r="E22" s="370">
        <v>0.2</v>
      </c>
      <c r="F22" s="371">
        <v>100.0</v>
      </c>
      <c r="G22" s="372">
        <f t="shared" ref="G22:G25" si="11">F22</f>
        <v>100</v>
      </c>
      <c r="H22" s="1"/>
      <c r="I22" s="395">
        <v>0.0</v>
      </c>
      <c r="J22" s="396">
        <v>0.2</v>
      </c>
      <c r="K22" s="1" t="s">
        <v>266</v>
      </c>
      <c r="L22" s="370">
        <v>0.25</v>
      </c>
      <c r="M22" s="371">
        <v>100.0</v>
      </c>
      <c r="N22" s="372">
        <f t="shared" ref="N22:N25" si="12">M22</f>
        <v>100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93">
        <v>0.2001</v>
      </c>
      <c r="C23" s="394">
        <v>0.3</v>
      </c>
      <c r="D23" s="1" t="s">
        <v>267</v>
      </c>
      <c r="E23" s="370">
        <v>0.2</v>
      </c>
      <c r="F23" s="371">
        <v>75.0</v>
      </c>
      <c r="G23" s="372">
        <f t="shared" si="11"/>
        <v>75</v>
      </c>
      <c r="H23" s="1"/>
      <c r="I23" s="395">
        <v>0.2001</v>
      </c>
      <c r="J23" s="396">
        <v>0.3</v>
      </c>
      <c r="K23" s="1" t="s">
        <v>267</v>
      </c>
      <c r="L23" s="370">
        <v>0.25</v>
      </c>
      <c r="M23" s="371">
        <v>75.0</v>
      </c>
      <c r="N23" s="372">
        <f t="shared" si="12"/>
        <v>75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93">
        <v>0.3001</v>
      </c>
      <c r="C24" s="394">
        <v>0.4</v>
      </c>
      <c r="D24" s="1" t="s">
        <v>268</v>
      </c>
      <c r="E24" s="370">
        <v>0.2</v>
      </c>
      <c r="F24" s="371">
        <v>60.0</v>
      </c>
      <c r="G24" s="372">
        <f t="shared" si="11"/>
        <v>60</v>
      </c>
      <c r="H24" s="1"/>
      <c r="I24" s="395">
        <v>0.3001</v>
      </c>
      <c r="J24" s="396">
        <v>0.4</v>
      </c>
      <c r="K24" s="1" t="s">
        <v>268</v>
      </c>
      <c r="L24" s="370">
        <v>0.25</v>
      </c>
      <c r="M24" s="371">
        <v>60.0</v>
      </c>
      <c r="N24" s="372">
        <f t="shared" si="12"/>
        <v>60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97">
        <v>0.4001</v>
      </c>
      <c r="C25" s="398">
        <v>100.0</v>
      </c>
      <c r="D25" s="366" t="s">
        <v>269</v>
      </c>
      <c r="E25" s="365">
        <v>0.2</v>
      </c>
      <c r="F25" s="375">
        <v>40.0</v>
      </c>
      <c r="G25" s="367">
        <f t="shared" si="11"/>
        <v>40</v>
      </c>
      <c r="H25" s="1"/>
      <c r="I25" s="399">
        <v>0.4001</v>
      </c>
      <c r="J25" s="400">
        <v>100.0</v>
      </c>
      <c r="K25" s="366" t="s">
        <v>269</v>
      </c>
      <c r="L25" s="365">
        <v>0.25</v>
      </c>
      <c r="M25" s="375">
        <v>40.0</v>
      </c>
      <c r="N25" s="367">
        <f t="shared" si="12"/>
        <v>40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>
        <f>MAX(G22:G25)</f>
        <v>100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61"/>
      <c r="C27" s="362"/>
      <c r="D27" s="362" t="s">
        <v>117</v>
      </c>
      <c r="E27" s="362"/>
      <c r="F27" s="362"/>
      <c r="G27" s="368"/>
      <c r="H27" s="1"/>
      <c r="I27" s="361"/>
      <c r="J27" s="362"/>
      <c r="K27" s="362" t="s">
        <v>117</v>
      </c>
      <c r="L27" s="362"/>
      <c r="M27" s="362"/>
      <c r="N27" s="36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01">
        <v>0.0</v>
      </c>
      <c r="C28" s="402">
        <v>17.99</v>
      </c>
      <c r="D28" s="1" t="s">
        <v>270</v>
      </c>
      <c r="E28" s="370">
        <v>0.0</v>
      </c>
      <c r="F28" s="371">
        <v>0.0</v>
      </c>
      <c r="G28" s="372">
        <f t="shared" ref="G28:G33" si="13">F28</f>
        <v>0</v>
      </c>
      <c r="H28" s="1"/>
      <c r="I28" s="401">
        <v>0.0</v>
      </c>
      <c r="J28" s="402">
        <v>17.99</v>
      </c>
      <c r="K28" s="1" t="s">
        <v>270</v>
      </c>
      <c r="L28" s="370">
        <v>0.0</v>
      </c>
      <c r="M28" s="371">
        <v>0.0</v>
      </c>
      <c r="N28" s="372">
        <f t="shared" ref="N28:N33" si="14">M28</f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03">
        <v>18.01</v>
      </c>
      <c r="C29" s="402">
        <v>25.0</v>
      </c>
      <c r="D29" s="1" t="s">
        <v>271</v>
      </c>
      <c r="E29" s="370">
        <v>0.1</v>
      </c>
      <c r="F29" s="371">
        <v>30.0</v>
      </c>
      <c r="G29" s="372">
        <f t="shared" si="13"/>
        <v>30</v>
      </c>
      <c r="H29" s="1"/>
      <c r="I29" s="403">
        <v>18.01</v>
      </c>
      <c r="J29" s="402">
        <v>25.0</v>
      </c>
      <c r="K29" s="1" t="s">
        <v>271</v>
      </c>
      <c r="L29" s="370">
        <v>0.15</v>
      </c>
      <c r="M29" s="371">
        <v>30.0</v>
      </c>
      <c r="N29" s="372">
        <f t="shared" si="14"/>
        <v>30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03">
        <v>25.01</v>
      </c>
      <c r="C30" s="402">
        <v>30.0</v>
      </c>
      <c r="D30" s="1" t="s">
        <v>272</v>
      </c>
      <c r="E30" s="370">
        <v>0.1</v>
      </c>
      <c r="F30" s="371">
        <v>40.0</v>
      </c>
      <c r="G30" s="372">
        <f t="shared" si="13"/>
        <v>40</v>
      </c>
      <c r="H30" s="1"/>
      <c r="I30" s="403">
        <v>25.01</v>
      </c>
      <c r="J30" s="402">
        <v>30.0</v>
      </c>
      <c r="K30" s="1" t="s">
        <v>272</v>
      </c>
      <c r="L30" s="370">
        <v>0.15</v>
      </c>
      <c r="M30" s="371">
        <v>40.0</v>
      </c>
      <c r="N30" s="372">
        <f t="shared" si="14"/>
        <v>40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403">
        <v>30.01</v>
      </c>
      <c r="C31" s="402">
        <v>40.0</v>
      </c>
      <c r="D31" s="1" t="s">
        <v>273</v>
      </c>
      <c r="E31" s="370">
        <v>0.1</v>
      </c>
      <c r="F31" s="371">
        <v>60.0</v>
      </c>
      <c r="G31" s="372">
        <f t="shared" si="13"/>
        <v>60</v>
      </c>
      <c r="H31" s="1"/>
      <c r="I31" s="403">
        <v>30.01</v>
      </c>
      <c r="J31" s="402">
        <v>40.0</v>
      </c>
      <c r="K31" s="1" t="s">
        <v>273</v>
      </c>
      <c r="L31" s="370">
        <v>0.15</v>
      </c>
      <c r="M31" s="371">
        <v>60.0</v>
      </c>
      <c r="N31" s="372">
        <f t="shared" si="14"/>
        <v>60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03">
        <v>40.01</v>
      </c>
      <c r="C32" s="402">
        <v>50.0</v>
      </c>
      <c r="D32" s="1" t="s">
        <v>274</v>
      </c>
      <c r="E32" s="370">
        <v>0.1</v>
      </c>
      <c r="F32" s="371">
        <v>100.0</v>
      </c>
      <c r="G32" s="372">
        <f t="shared" si="13"/>
        <v>100</v>
      </c>
      <c r="H32" s="1"/>
      <c r="I32" s="403">
        <v>40.01</v>
      </c>
      <c r="J32" s="402">
        <v>50.0</v>
      </c>
      <c r="K32" s="1" t="s">
        <v>274</v>
      </c>
      <c r="L32" s="370">
        <v>0.15</v>
      </c>
      <c r="M32" s="371">
        <v>100.0</v>
      </c>
      <c r="N32" s="372">
        <f t="shared" si="14"/>
        <v>100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04">
        <v>50.01</v>
      </c>
      <c r="C33" s="405">
        <v>700000.0</v>
      </c>
      <c r="D33" s="366" t="s">
        <v>275</v>
      </c>
      <c r="E33" s="365">
        <v>0.1</v>
      </c>
      <c r="F33" s="375">
        <v>75.0</v>
      </c>
      <c r="G33" s="367">
        <f t="shared" si="13"/>
        <v>75</v>
      </c>
      <c r="H33" s="1"/>
      <c r="I33" s="404">
        <v>50.01</v>
      </c>
      <c r="J33" s="405">
        <v>700000.0</v>
      </c>
      <c r="K33" s="366" t="s">
        <v>275</v>
      </c>
      <c r="L33" s="365">
        <v>0.15</v>
      </c>
      <c r="M33" s="375">
        <v>75.0</v>
      </c>
      <c r="N33" s="367">
        <f t="shared" si="14"/>
        <v>75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>
        <f>MAX(G28:G33)</f>
        <v>100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E1:G1"/>
    <mergeCell ref="L1:N1"/>
    <mergeCell ref="Q8:S8"/>
    <mergeCell ref="U8:W8"/>
    <mergeCell ref="Q9:R9"/>
    <mergeCell ref="U9:V9"/>
  </mergeCells>
  <printOptions/>
  <pageMargins bottom="0.75" footer="0.0" header="0.0" left="0.7" right="0.7" top="0.75"/>
  <pageSetup orientation="landscape"/>
  <drawing r:id="rId1"/>
</worksheet>
</file>